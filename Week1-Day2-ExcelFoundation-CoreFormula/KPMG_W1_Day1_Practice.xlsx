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ashujauhari/Data-2026/Client-2026/REVATURE-KPMG-OperationAnalyst/Week1-ExcelFoundation/Day2/"/>
    </mc:Choice>
  </mc:AlternateContent>
  <xr:revisionPtr revIDLastSave="0" documentId="13_ncr:1_{FDDEEC15-B47D-1442-AA91-BDD8B16A2F8D}" xr6:coauthVersionLast="47" xr6:coauthVersionMax="47" xr10:uidLastSave="{00000000-0000-0000-0000-000000000000}"/>
  <bookViews>
    <workbookView xWindow="0" yWindow="0" windowWidth="28800" windowHeight="18000" tabRatio="500" activeTab="7" xr2:uid="{00000000-000D-0000-FFFF-FFFF00000000}"/>
  </bookViews>
  <sheets>
    <sheet name="Cleaned_Data-Practice" sheetId="6" r:id="rId1"/>
    <sheet name="Raw_Data (3)" sheetId="5" r:id="rId2"/>
    <sheet name="Raw_Data-Day1" sheetId="4" r:id="rId3"/>
    <sheet name="Instructions" sheetId="1" r:id="rId4"/>
    <sheet name="Raw_Data" sheetId="2" r:id="rId5"/>
    <sheet name="Cleaned_Data" sheetId="3" r:id="rId6"/>
    <sheet name="Sorting_Lab" sheetId="8" r:id="rId7"/>
    <sheet name="Reconciliation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9" i="3" l="1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I11" i="6"/>
  <c r="I10" i="6"/>
  <c r="I26" i="6"/>
  <c r="F33" i="6"/>
  <c r="F2" i="6"/>
  <c r="F3" i="6"/>
  <c r="F4" i="6"/>
  <c r="F5" i="6"/>
  <c r="F6" i="6"/>
  <c r="F7" i="6"/>
  <c r="F8" i="6"/>
  <c r="F9" i="6"/>
  <c r="F10" i="6"/>
  <c r="F11" i="6"/>
  <c r="F12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 l="1"/>
  <c r="D38" i="4"/>
  <c r="G69" i="8" a="1"/>
  <c r="G69" i="8" s="1"/>
  <c r="B69" i="8" a="1"/>
  <c r="B69" i="8" s="1"/>
  <c r="C65" i="8"/>
  <c r="C64" i="8"/>
  <c r="C63" i="8"/>
  <c r="C62" i="8"/>
  <c r="C61" i="8"/>
  <c r="C60" i="8"/>
  <c r="J31" i="6"/>
  <c r="I31" i="6"/>
  <c r="H31" i="6"/>
  <c r="G31" i="6"/>
  <c r="E31" i="6"/>
  <c r="D31" i="6"/>
  <c r="C31" i="6"/>
  <c r="B31" i="6"/>
  <c r="A31" i="6"/>
  <c r="J30" i="6"/>
  <c r="I30" i="6"/>
  <c r="H30" i="6"/>
  <c r="G30" i="6"/>
  <c r="E30" i="6"/>
  <c r="D30" i="6"/>
  <c r="C30" i="6"/>
  <c r="B30" i="6"/>
  <c r="A30" i="6"/>
  <c r="J29" i="6"/>
  <c r="I29" i="6"/>
  <c r="H29" i="6"/>
  <c r="G29" i="6"/>
  <c r="E29" i="6"/>
  <c r="D29" i="6"/>
  <c r="C29" i="6"/>
  <c r="B29" i="6"/>
  <c r="A29" i="6"/>
  <c r="J28" i="6"/>
  <c r="I28" i="6"/>
  <c r="H28" i="6"/>
  <c r="G28" i="6"/>
  <c r="E28" i="6"/>
  <c r="D28" i="6"/>
  <c r="C28" i="6"/>
  <c r="B28" i="6"/>
  <c r="A28" i="6"/>
  <c r="J27" i="6"/>
  <c r="I27" i="6"/>
  <c r="H27" i="6"/>
  <c r="G27" i="6"/>
  <c r="E27" i="6"/>
  <c r="D27" i="6"/>
  <c r="C27" i="6"/>
  <c r="B27" i="6"/>
  <c r="A27" i="6"/>
  <c r="J26" i="6"/>
  <c r="H26" i="6"/>
  <c r="G26" i="6"/>
  <c r="E26" i="6"/>
  <c r="D26" i="6"/>
  <c r="C26" i="6"/>
  <c r="B26" i="6"/>
  <c r="A26" i="6"/>
  <c r="J25" i="6"/>
  <c r="I25" i="6"/>
  <c r="H25" i="6"/>
  <c r="G25" i="6"/>
  <c r="E25" i="6"/>
  <c r="D25" i="6"/>
  <c r="C25" i="6"/>
  <c r="B25" i="6"/>
  <c r="A25" i="6"/>
  <c r="J24" i="6"/>
  <c r="I24" i="6"/>
  <c r="H24" i="6"/>
  <c r="G24" i="6"/>
  <c r="E24" i="6"/>
  <c r="D24" i="6"/>
  <c r="C24" i="6"/>
  <c r="B24" i="6"/>
  <c r="A24" i="6"/>
  <c r="J23" i="6"/>
  <c r="I23" i="6"/>
  <c r="H23" i="6"/>
  <c r="G23" i="6"/>
  <c r="E23" i="6"/>
  <c r="D23" i="6"/>
  <c r="C23" i="6"/>
  <c r="B23" i="6"/>
  <c r="A23" i="6"/>
  <c r="J22" i="6"/>
  <c r="I22" i="6"/>
  <c r="H22" i="6"/>
  <c r="G22" i="6"/>
  <c r="E22" i="6"/>
  <c r="D22" i="6"/>
  <c r="C22" i="6"/>
  <c r="B22" i="6"/>
  <c r="A22" i="6"/>
  <c r="J21" i="6"/>
  <c r="I21" i="6"/>
  <c r="H21" i="6"/>
  <c r="G21" i="6"/>
  <c r="E21" i="6"/>
  <c r="D21" i="6"/>
  <c r="C21" i="6"/>
  <c r="B21" i="6"/>
  <c r="A21" i="6"/>
  <c r="J20" i="6"/>
  <c r="I20" i="6"/>
  <c r="H20" i="6"/>
  <c r="G20" i="6"/>
  <c r="E20" i="6"/>
  <c r="D20" i="6"/>
  <c r="C20" i="6"/>
  <c r="B20" i="6"/>
  <c r="A20" i="6"/>
  <c r="J19" i="6"/>
  <c r="I19" i="6"/>
  <c r="H19" i="6"/>
  <c r="G19" i="6"/>
  <c r="E19" i="6"/>
  <c r="D19" i="6"/>
  <c r="C19" i="6"/>
  <c r="B19" i="6"/>
  <c r="A19" i="6"/>
  <c r="J18" i="6"/>
  <c r="I18" i="6"/>
  <c r="H18" i="6"/>
  <c r="G18" i="6"/>
  <c r="E18" i="6"/>
  <c r="D18" i="6"/>
  <c r="C18" i="6"/>
  <c r="B18" i="6"/>
  <c r="A18" i="6"/>
  <c r="J17" i="6"/>
  <c r="I17" i="6"/>
  <c r="H17" i="6"/>
  <c r="G17" i="6"/>
  <c r="E17" i="6"/>
  <c r="D17" i="6"/>
  <c r="C17" i="6"/>
  <c r="B17" i="6"/>
  <c r="A17" i="6"/>
  <c r="J16" i="6"/>
  <c r="I16" i="6"/>
  <c r="H16" i="6"/>
  <c r="G16" i="6"/>
  <c r="E16" i="6"/>
  <c r="D16" i="6"/>
  <c r="C16" i="6"/>
  <c r="B16" i="6"/>
  <c r="A16" i="6"/>
  <c r="J15" i="6"/>
  <c r="I15" i="6"/>
  <c r="H15" i="6"/>
  <c r="G15" i="6"/>
  <c r="E15" i="6"/>
  <c r="D15" i="6"/>
  <c r="C15" i="6"/>
  <c r="B15" i="6"/>
  <c r="A15" i="6"/>
  <c r="J14" i="6"/>
  <c r="I14" i="6"/>
  <c r="H14" i="6"/>
  <c r="G14" i="6"/>
  <c r="E14" i="6"/>
  <c r="D14" i="6"/>
  <c r="C14" i="6"/>
  <c r="B14" i="6"/>
  <c r="A14" i="6"/>
  <c r="J13" i="6"/>
  <c r="I13" i="6"/>
  <c r="H13" i="6"/>
  <c r="G13" i="6"/>
  <c r="E13" i="6"/>
  <c r="D13" i="6"/>
  <c r="C13" i="6"/>
  <c r="B13" i="6"/>
  <c r="A13" i="6"/>
  <c r="J12" i="6"/>
  <c r="I12" i="6"/>
  <c r="H12" i="6"/>
  <c r="G12" i="6"/>
  <c r="E12" i="6"/>
  <c r="D12" i="6"/>
  <c r="C12" i="6"/>
  <c r="B12" i="6"/>
  <c r="A12" i="6"/>
  <c r="J11" i="6"/>
  <c r="H11" i="6"/>
  <c r="G11" i="6"/>
  <c r="E11" i="6"/>
  <c r="D11" i="6"/>
  <c r="C11" i="6"/>
  <c r="B11" i="6"/>
  <c r="A11" i="6"/>
  <c r="J10" i="6"/>
  <c r="H10" i="6"/>
  <c r="G10" i="6"/>
  <c r="E10" i="6"/>
  <c r="D10" i="6"/>
  <c r="C10" i="6"/>
  <c r="B10" i="6"/>
  <c r="A10" i="6"/>
  <c r="J9" i="6"/>
  <c r="I9" i="6"/>
  <c r="H9" i="6"/>
  <c r="G9" i="6"/>
  <c r="E9" i="6"/>
  <c r="D9" i="6"/>
  <c r="C9" i="6"/>
  <c r="B9" i="6"/>
  <c r="A9" i="6"/>
  <c r="J8" i="6"/>
  <c r="I8" i="6"/>
  <c r="H8" i="6"/>
  <c r="G8" i="6"/>
  <c r="E8" i="6"/>
  <c r="D8" i="6"/>
  <c r="C8" i="6"/>
  <c r="B8" i="6"/>
  <c r="A8" i="6"/>
  <c r="J7" i="6"/>
  <c r="I7" i="6"/>
  <c r="H7" i="6"/>
  <c r="G7" i="6"/>
  <c r="E7" i="6"/>
  <c r="D7" i="6"/>
  <c r="C7" i="6"/>
  <c r="B7" i="6"/>
  <c r="A7" i="6"/>
  <c r="J6" i="6"/>
  <c r="I6" i="6"/>
  <c r="H6" i="6"/>
  <c r="G6" i="6"/>
  <c r="E6" i="6"/>
  <c r="D6" i="6"/>
  <c r="C6" i="6"/>
  <c r="B6" i="6"/>
  <c r="A6" i="6"/>
  <c r="J5" i="6"/>
  <c r="I5" i="6"/>
  <c r="H5" i="6"/>
  <c r="G5" i="6"/>
  <c r="E5" i="6"/>
  <c r="D5" i="6"/>
  <c r="C5" i="6"/>
  <c r="B5" i="6"/>
  <c r="A5" i="6"/>
  <c r="J4" i="6"/>
  <c r="I4" i="6"/>
  <c r="H4" i="6"/>
  <c r="G4" i="6"/>
  <c r="E4" i="6"/>
  <c r="D4" i="6"/>
  <c r="C4" i="6"/>
  <c r="B4" i="6"/>
  <c r="A4" i="6"/>
  <c r="J3" i="6"/>
  <c r="I3" i="6"/>
  <c r="H3" i="6"/>
  <c r="G3" i="6"/>
  <c r="E3" i="6"/>
  <c r="D3" i="6"/>
  <c r="C3" i="6"/>
  <c r="B3" i="6"/>
  <c r="A3" i="6"/>
  <c r="J2" i="6"/>
  <c r="I2" i="6"/>
  <c r="H2" i="6"/>
  <c r="G2" i="6"/>
  <c r="E2" i="6"/>
  <c r="D2" i="6"/>
  <c r="C2" i="6"/>
  <c r="B2" i="6"/>
  <c r="A2" i="6"/>
  <c r="F37" i="4"/>
  <c r="J32" i="3"/>
  <c r="I32" i="3"/>
  <c r="H32" i="3"/>
  <c r="G32" i="3"/>
  <c r="F32" i="3"/>
  <c r="E32" i="3"/>
  <c r="D32" i="3"/>
  <c r="C32" i="3"/>
  <c r="B32" i="3"/>
  <c r="A32" i="3"/>
  <c r="J31" i="3"/>
  <c r="I31" i="3"/>
  <c r="H31" i="3"/>
  <c r="G31" i="3"/>
  <c r="F31" i="3"/>
  <c r="E31" i="3"/>
  <c r="D31" i="3"/>
  <c r="C31" i="3"/>
  <c r="B31" i="3"/>
  <c r="A31" i="3"/>
  <c r="J30" i="3"/>
  <c r="I30" i="3"/>
  <c r="H30" i="3"/>
  <c r="G30" i="3"/>
  <c r="F30" i="3"/>
  <c r="E30" i="3"/>
  <c r="D30" i="3"/>
  <c r="C30" i="3"/>
  <c r="B30" i="3"/>
  <c r="A30" i="3"/>
  <c r="J29" i="3"/>
  <c r="I29" i="3"/>
  <c r="H29" i="3"/>
  <c r="G29" i="3"/>
  <c r="F29" i="3"/>
  <c r="E29" i="3"/>
  <c r="D29" i="3"/>
  <c r="C29" i="3"/>
  <c r="B29" i="3"/>
  <c r="A29" i="3"/>
  <c r="J28" i="3"/>
  <c r="I28" i="3"/>
  <c r="H28" i="3"/>
  <c r="G28" i="3"/>
  <c r="F28" i="3"/>
  <c r="E28" i="3"/>
  <c r="D28" i="3"/>
  <c r="C28" i="3"/>
  <c r="B28" i="3"/>
  <c r="A28" i="3"/>
  <c r="J27" i="3"/>
  <c r="I27" i="3"/>
  <c r="H27" i="3"/>
  <c r="G27" i="3"/>
  <c r="F27" i="3"/>
  <c r="E27" i="3"/>
  <c r="D27" i="3"/>
  <c r="C27" i="3"/>
  <c r="B27" i="3"/>
  <c r="A27" i="3"/>
  <c r="J26" i="3"/>
  <c r="I26" i="3"/>
  <c r="H26" i="3"/>
  <c r="G26" i="3"/>
  <c r="F26" i="3"/>
  <c r="E26" i="3"/>
  <c r="D26" i="3"/>
  <c r="C26" i="3"/>
  <c r="B26" i="3"/>
  <c r="A26" i="3"/>
  <c r="J25" i="3"/>
  <c r="I25" i="3"/>
  <c r="H25" i="3"/>
  <c r="G25" i="3"/>
  <c r="F25" i="3"/>
  <c r="E25" i="3"/>
  <c r="D25" i="3"/>
  <c r="C25" i="3"/>
  <c r="B25" i="3"/>
  <c r="A25" i="3"/>
  <c r="J24" i="3"/>
  <c r="I24" i="3"/>
  <c r="H24" i="3"/>
  <c r="G24" i="3"/>
  <c r="F24" i="3"/>
  <c r="E24" i="3"/>
  <c r="D24" i="3"/>
  <c r="C24" i="3"/>
  <c r="B24" i="3"/>
  <c r="A24" i="3"/>
  <c r="J23" i="3"/>
  <c r="I23" i="3"/>
  <c r="H23" i="3"/>
  <c r="G23" i="3"/>
  <c r="F23" i="3"/>
  <c r="E23" i="3"/>
  <c r="D23" i="3"/>
  <c r="C23" i="3"/>
  <c r="B23" i="3"/>
  <c r="A23" i="3"/>
  <c r="J22" i="3"/>
  <c r="I22" i="3"/>
  <c r="H22" i="3"/>
  <c r="G22" i="3"/>
  <c r="F22" i="3"/>
  <c r="E22" i="3"/>
  <c r="D22" i="3"/>
  <c r="C22" i="3"/>
  <c r="B22" i="3"/>
  <c r="A22" i="3"/>
  <c r="J21" i="3"/>
  <c r="I21" i="3"/>
  <c r="H21" i="3"/>
  <c r="G21" i="3"/>
  <c r="F21" i="3"/>
  <c r="E21" i="3"/>
  <c r="D21" i="3"/>
  <c r="C21" i="3"/>
  <c r="B21" i="3"/>
  <c r="A21" i="3"/>
  <c r="J20" i="3"/>
  <c r="I20" i="3"/>
  <c r="H20" i="3"/>
  <c r="G20" i="3"/>
  <c r="F20" i="3"/>
  <c r="E20" i="3"/>
  <c r="D20" i="3"/>
  <c r="C20" i="3"/>
  <c r="B20" i="3"/>
  <c r="A20" i="3"/>
  <c r="J19" i="3"/>
  <c r="I19" i="3"/>
  <c r="H19" i="3"/>
  <c r="G19" i="3"/>
  <c r="F19" i="3"/>
  <c r="E19" i="3"/>
  <c r="D19" i="3"/>
  <c r="C19" i="3"/>
  <c r="B19" i="3"/>
  <c r="A19" i="3"/>
  <c r="J18" i="3"/>
  <c r="I18" i="3"/>
  <c r="H18" i="3"/>
  <c r="G18" i="3"/>
  <c r="F18" i="3"/>
  <c r="E18" i="3"/>
  <c r="D18" i="3"/>
  <c r="C18" i="3"/>
  <c r="B18" i="3"/>
  <c r="A18" i="3"/>
  <c r="J17" i="3"/>
  <c r="I17" i="3"/>
  <c r="H17" i="3"/>
  <c r="G17" i="3"/>
  <c r="F17" i="3"/>
  <c r="E17" i="3"/>
  <c r="D17" i="3"/>
  <c r="C17" i="3"/>
  <c r="B17" i="3"/>
  <c r="A17" i="3"/>
  <c r="J16" i="3"/>
  <c r="I16" i="3"/>
  <c r="H16" i="3"/>
  <c r="G16" i="3"/>
  <c r="F16" i="3"/>
  <c r="E16" i="3"/>
  <c r="D16" i="3"/>
  <c r="C16" i="3"/>
  <c r="B16" i="3"/>
  <c r="A16" i="3"/>
  <c r="J15" i="3"/>
  <c r="I15" i="3"/>
  <c r="H15" i="3"/>
  <c r="G15" i="3"/>
  <c r="F15" i="3"/>
  <c r="E15" i="3"/>
  <c r="D15" i="3"/>
  <c r="C15" i="3"/>
  <c r="B15" i="3"/>
  <c r="A15" i="3"/>
  <c r="J14" i="3"/>
  <c r="I14" i="3"/>
  <c r="H14" i="3"/>
  <c r="G14" i="3"/>
  <c r="F14" i="3"/>
  <c r="E14" i="3"/>
  <c r="D14" i="3"/>
  <c r="C14" i="3"/>
  <c r="B14" i="3"/>
  <c r="A14" i="3"/>
  <c r="J13" i="3"/>
  <c r="I13" i="3"/>
  <c r="H13" i="3"/>
  <c r="G13" i="3"/>
  <c r="F13" i="3"/>
  <c r="E13" i="3"/>
  <c r="D13" i="3"/>
  <c r="C13" i="3"/>
  <c r="B13" i="3"/>
  <c r="A13" i="3"/>
  <c r="J12" i="3"/>
  <c r="I12" i="3"/>
  <c r="H12" i="3"/>
  <c r="G12" i="3"/>
  <c r="F12" i="3"/>
  <c r="E12" i="3"/>
  <c r="D12" i="3"/>
  <c r="C12" i="3"/>
  <c r="B12" i="3"/>
  <c r="A12" i="3"/>
  <c r="J11" i="3"/>
  <c r="I11" i="3"/>
  <c r="H11" i="3"/>
  <c r="G11" i="3"/>
  <c r="F11" i="3"/>
  <c r="E11" i="3"/>
  <c r="D11" i="3"/>
  <c r="C11" i="3"/>
  <c r="B11" i="3"/>
  <c r="A11" i="3"/>
  <c r="J10" i="3"/>
  <c r="I10" i="3"/>
  <c r="H10" i="3"/>
  <c r="G10" i="3"/>
  <c r="F10" i="3"/>
  <c r="E10" i="3"/>
  <c r="D10" i="3"/>
  <c r="C10" i="3"/>
  <c r="B10" i="3"/>
  <c r="A10" i="3"/>
  <c r="J9" i="3"/>
  <c r="I9" i="3"/>
  <c r="H9" i="3"/>
  <c r="G9" i="3"/>
  <c r="F9" i="3"/>
  <c r="E9" i="3"/>
  <c r="D9" i="3"/>
  <c r="C9" i="3"/>
  <c r="B9" i="3"/>
  <c r="A9" i="3"/>
  <c r="J8" i="3"/>
  <c r="K8" i="3" s="1"/>
  <c r="I8" i="3"/>
  <c r="H8" i="3"/>
  <c r="G8" i="3"/>
  <c r="F8" i="3"/>
  <c r="E8" i="3"/>
  <c r="D8" i="3"/>
  <c r="C8" i="3"/>
  <c r="B8" i="3"/>
  <c r="A8" i="3"/>
  <c r="J7" i="3"/>
  <c r="K7" i="3" s="1"/>
  <c r="I7" i="3"/>
  <c r="H7" i="3"/>
  <c r="G7" i="3"/>
  <c r="F7" i="3"/>
  <c r="E7" i="3"/>
  <c r="D7" i="3"/>
  <c r="C7" i="3"/>
  <c r="B7" i="3"/>
  <c r="A7" i="3"/>
  <c r="J6" i="3"/>
  <c r="K6" i="3" s="1"/>
  <c r="I6" i="3"/>
  <c r="H6" i="3"/>
  <c r="G6" i="3"/>
  <c r="F6" i="3"/>
  <c r="E6" i="3"/>
  <c r="D6" i="3"/>
  <c r="C6" i="3"/>
  <c r="B6" i="3"/>
  <c r="A6" i="3"/>
  <c r="J5" i="3"/>
  <c r="K5" i="3" s="1"/>
  <c r="I5" i="3"/>
  <c r="H5" i="3"/>
  <c r="G5" i="3"/>
  <c r="F5" i="3"/>
  <c r="E5" i="3"/>
  <c r="D5" i="3"/>
  <c r="C5" i="3"/>
  <c r="B5" i="3"/>
  <c r="A5" i="3"/>
  <c r="J4" i="3"/>
  <c r="K4" i="3" s="1"/>
  <c r="I4" i="3"/>
  <c r="H4" i="3"/>
  <c r="G4" i="3"/>
  <c r="F4" i="3"/>
  <c r="E4" i="3"/>
  <c r="D4" i="3"/>
  <c r="C4" i="3"/>
  <c r="B4" i="3"/>
  <c r="A4" i="3"/>
  <c r="J3" i="3"/>
  <c r="K3" i="3" s="1"/>
  <c r="I3" i="3"/>
  <c r="H3" i="3"/>
  <c r="G3" i="3"/>
  <c r="F3" i="3"/>
  <c r="E3" i="3"/>
  <c r="D3" i="3"/>
  <c r="C3" i="3"/>
  <c r="B3" i="3"/>
  <c r="A3" i="3"/>
  <c r="D16" i="1"/>
  <c r="D15" i="1"/>
  <c r="D14" i="1"/>
  <c r="D12" i="1"/>
  <c r="D11" i="1"/>
  <c r="D10" i="1"/>
  <c r="C47" i="6" l="1"/>
  <c r="L2" i="6"/>
  <c r="L3" i="6"/>
  <c r="L11" i="6"/>
  <c r="L17" i="6"/>
  <c r="L10" i="6"/>
  <c r="L9" i="6"/>
  <c r="L25" i="6"/>
  <c r="L18" i="6"/>
  <c r="L26" i="6"/>
  <c r="L7" i="6"/>
  <c r="L15" i="6"/>
  <c r="L5" i="6"/>
  <c r="L19" i="6"/>
  <c r="L23" i="6"/>
  <c r="L27" i="6"/>
  <c r="L31" i="6"/>
  <c r="L6" i="6"/>
  <c r="L4" i="6"/>
  <c r="L22" i="6"/>
  <c r="L16" i="6"/>
  <c r="L14" i="6"/>
  <c r="L12" i="6"/>
  <c r="L20" i="6"/>
  <c r="L24" i="6"/>
  <c r="L28" i="6"/>
  <c r="L13" i="6"/>
  <c r="L29" i="6"/>
  <c r="L21" i="6"/>
  <c r="L8" i="6"/>
  <c r="L30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tc={9A9D47CA-7C88-684E-9AA0-4DEBFACE5ABE}</author>
  </authors>
  <commentList>
    <comment ref="F13" authorId="0" shapeId="0" xr:uid="{9A9D47CA-7C88-684E-9AA0-4DEBFACE5ABE}">
      <text>
        <t>[Threaded comment]
Your version of Excel allows you to read this threaded comment; however, any edits to it will get removed if the file is opened in a newer version of Excel. Learn more: https://go.microsoft.com/fwlink/?linkid=870924
Comment:
    Missing value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<sst xmlns="http://schemas.openxmlformats.org/spreadsheetml/2006/main" count="1369" uniqueCount="463">
  <si>
    <t>KPMG Operations Analyst – Week 1 | Data Cleaning Practice</t>
  </si>
  <si>
    <t>Wednesday Session  |  Trainer Workbook</t>
  </si>
  <si>
    <t xml:space="preserve">  📋  What's in this workbook?</t>
  </si>
  <si>
    <t>Raw_Data sheet  →  30 rows of messy banking transaction records with 8 data quality issues built in.
Cleaned_Data sheet  →  Your practice area. Formulas are partially pre-filled; complete the rest as instructed.</t>
  </si>
  <si>
    <t xml:space="preserve">  🔧  Tasks &amp; Formulas to Practice</t>
  </si>
  <si>
    <t>Task / Issue</t>
  </si>
  <si>
    <t>What to do</t>
  </si>
  <si>
    <t>Formula to use</t>
  </si>
  <si>
    <t>1. Remove Duplicates</t>
  </si>
  <si>
    <t>Transaction_ID column has duplicate entries. Use Data → Remove Duplicates.</t>
  </si>
  <si>
    <t>Data tab → Remove Duplicates</t>
  </si>
  <si>
    <t>2. Extra Spaces (TRIM)</t>
  </si>
  <si>
    <t>Customer names and notes have leading/trailing/double spaces.</t>
  </si>
  <si>
    <t>3. Non-printable chars (CLEAN)</t>
  </si>
  <si>
    <t>Notes column contains hidden characters that came from a system export.</t>
  </si>
  <si>
    <t>4. Fix Casing (PROPER)</t>
  </si>
  <si>
    <t>Customer names and transaction types are in ALL CAPS or all lower.</t>
  </si>
  <si>
    <t>5. Text to Columns</t>
  </si>
  <si>
    <t>Column K has 'Name | DOB' combined. Split on '|' using Data → Text to Columns.</t>
  </si>
  <si>
    <t>Data tab → Text to Columns → Delimited → |</t>
  </si>
  <si>
    <t>6. Handle Blanks</t>
  </si>
  <si>
    <t>Branch_Code has empty cells. Replace blanks with 'UNKNOWN' using IF.</t>
  </si>
  <si>
    <t>7. Standardize IDs</t>
  </si>
  <si>
    <t>Customer_ID format is inconsistent (some miss 'CUST-' prefix, spaces inside).</t>
  </si>
  <si>
    <t>8. Standardize Financial Fields</t>
  </si>
  <si>
    <t>Amount column has $, commas, and text mixed. Convert to clean numbers.</t>
  </si>
  <si>
    <t xml:space="preserve">  ✅  Color Legend (Raw_Data sheet)</t>
  </si>
  <si>
    <t>🔴 Red fill</t>
  </si>
  <si>
    <t>Duplicate rows</t>
  </si>
  <si>
    <t>🟡 Yellow fill</t>
  </si>
  <si>
    <t>Blank / missing values</t>
  </si>
  <si>
    <t>🟠 Orange text</t>
  </si>
  <si>
    <t>Inconsistent format (IDs, dates, amounts)</t>
  </si>
  <si>
    <t>⬜ No fill</t>
  </si>
  <si>
    <t>Normal data (some issues may not be highlighted — find them!)</t>
  </si>
  <si>
    <t>Customer_ID</t>
  </si>
  <si>
    <t>Account_Number</t>
  </si>
  <si>
    <t>Customer_Name</t>
  </si>
  <si>
    <t>Transaction_Date</t>
  </si>
  <si>
    <t>Transaction_Type</t>
  </si>
  <si>
    <t>Amount</t>
  </si>
  <si>
    <t>Currency</t>
  </si>
  <si>
    <t>Branch_Code</t>
  </si>
  <si>
    <t>Transaction_ID</t>
  </si>
  <si>
    <t>Notes</t>
  </si>
  <si>
    <t>Name_DOB_Combined</t>
  </si>
  <si>
    <t>CUST-1001</t>
  </si>
  <si>
    <t>ACC-884521</t>
  </si>
  <si>
    <t>Priya Sharma</t>
  </si>
  <si>
    <t>2026-08-01</t>
  </si>
  <si>
    <t>Credit</t>
  </si>
  <si>
    <t>15000</t>
  </si>
  <si>
    <t>INR</t>
  </si>
  <si>
    <t>BRN-01</t>
  </si>
  <si>
    <t>TXN-0001</t>
  </si>
  <si>
    <t>Salary credit for August</t>
  </si>
  <si>
    <t>Priya Sharma | 1990-04-12</t>
  </si>
  <si>
    <t>CUST-1002</t>
  </si>
  <si>
    <t>ACC-774832</t>
  </si>
  <si>
    <t xml:space="preserve">  RAHUL MEHTA  </t>
  </si>
  <si>
    <t>2026-08-02</t>
  </si>
  <si>
    <t>DEBIT</t>
  </si>
  <si>
    <t>$8,500.00</t>
  </si>
  <si>
    <t>BRN-02</t>
  </si>
  <si>
    <t>TXN-0002</t>
  </si>
  <si>
    <t xml:space="preserve">  Online transfer to vendor  </t>
  </si>
  <si>
    <t>RAHUL MEHTA | 1985-11-30</t>
  </si>
  <si>
    <t>1003</t>
  </si>
  <si>
    <t>ACC-663741</t>
  </si>
  <si>
    <t>ananya iyer</t>
  </si>
  <si>
    <t>01/08/2026</t>
  </si>
  <si>
    <t>credit</t>
  </si>
  <si>
    <t>22000</t>
  </si>
  <si>
    <t>TXN-0003</t>
  </si>
  <si>
    <t>Loan disbursement [SYS]</t>
  </si>
  <si>
    <t>ananya iyer | 1993-07-08</t>
  </si>
  <si>
    <t>CUST-1004</t>
  </si>
  <si>
    <t>ACC-552630</t>
  </si>
  <si>
    <t>Vikram Singh</t>
  </si>
  <si>
    <t>2026-08-04</t>
  </si>
  <si>
    <t>Debit</t>
  </si>
  <si>
    <t>3750</t>
  </si>
  <si>
    <t>TXN-0004</t>
  </si>
  <si>
    <t>ATM withdrawal</t>
  </si>
  <si>
    <t>Vikram Singh | 1978-02-25</t>
  </si>
  <si>
    <t>CUST-1005</t>
  </si>
  <si>
    <t>ACC-441519</t>
  </si>
  <si>
    <t>Sneha Nair</t>
  </si>
  <si>
    <t>2026-08-05</t>
  </si>
  <si>
    <t>9800</t>
  </si>
  <si>
    <t>BRN-03</t>
  </si>
  <si>
    <t>Freelance payment received</t>
  </si>
  <si>
    <t>Sneha Nair | 1995-09-14</t>
  </si>
  <si>
    <t>CUST -1006</t>
  </si>
  <si>
    <t>ACC-330408</t>
  </si>
  <si>
    <t>AMIT PATEL</t>
  </si>
  <si>
    <t>2026-08-06</t>
  </si>
  <si>
    <t>1,200.50</t>
  </si>
  <si>
    <t>TXN-0006</t>
  </si>
  <si>
    <t>Utility bill payment</t>
  </si>
  <si>
    <t>AMIT PATEL | 1982-06-03</t>
  </si>
  <si>
    <t>CUST-1007</t>
  </si>
  <si>
    <t>ACC-229397</t>
  </si>
  <si>
    <t>ritu gupta</t>
  </si>
  <si>
    <t>2026-08-07</t>
  </si>
  <si>
    <t>debit</t>
  </si>
  <si>
    <t>500</t>
  </si>
  <si>
    <t>BRN-04</t>
  </si>
  <si>
    <t>TXN-0007</t>
  </si>
  <si>
    <t>Coffee  shop  payment</t>
  </si>
  <si>
    <t>ritu gupta | 1999-12-20</t>
  </si>
  <si>
    <t>CUST-1008</t>
  </si>
  <si>
    <t>ACC-118286</t>
  </si>
  <si>
    <t>Deepak Verma</t>
  </si>
  <si>
    <t>08-Aug-2026</t>
  </si>
  <si>
    <t>$45,000</t>
  </si>
  <si>
    <t>TXN-0008</t>
  </si>
  <si>
    <t xml:space="preserve">Property rent collected extra </t>
  </si>
  <si>
    <t>Deepak Verma | 1975-03-17</t>
  </si>
  <si>
    <t>CUST-1009</t>
  </si>
  <si>
    <t>ACC-007175</t>
  </si>
  <si>
    <t>MEENA KRISHNAN</t>
  </si>
  <si>
    <t>2026-08-09</t>
  </si>
  <si>
    <t>$2,300.00</t>
  </si>
  <si>
    <t>TXN-0009</t>
  </si>
  <si>
    <t>Insurance premium paid</t>
  </si>
  <si>
    <t>MEENA KRISHNAN | 1988-08-05</t>
  </si>
  <si>
    <t>CUST-1010</t>
  </si>
  <si>
    <t>ACC-996064</t>
  </si>
  <si>
    <t xml:space="preserve"> Arjun  Bose </t>
  </si>
  <si>
    <t>2026-08-10</t>
  </si>
  <si>
    <t>11000</t>
  </si>
  <si>
    <t>TXN-0010</t>
  </si>
  <si>
    <t>Dividend received</t>
  </si>
  <si>
    <t>Arjun Bose | 1991-01-22</t>
  </si>
  <si>
    <t>1011</t>
  </si>
  <si>
    <t>ACC-885953</t>
  </si>
  <si>
    <t>kavya reddy</t>
  </si>
  <si>
    <t>2026-08-11</t>
  </si>
  <si>
    <t>750</t>
  </si>
  <si>
    <t>BRN-05</t>
  </si>
  <si>
    <t>TXN-0011</t>
  </si>
  <si>
    <t>Supermarket purchase</t>
  </si>
  <si>
    <t>kavya reddy | 1996-05-09</t>
  </si>
  <si>
    <t>CUST-1012</t>
  </si>
  <si>
    <t>ACC-774842</t>
  </si>
  <si>
    <t>SURESH PILLAI</t>
  </si>
  <si>
    <t>2026-08-12</t>
  </si>
  <si>
    <t>N/A</t>
  </si>
  <si>
    <t>TXN-0012</t>
  </si>
  <si>
    <t xml:space="preserve">  Pending credit  </t>
  </si>
  <si>
    <t>SURESH PILLAI | 1970-10-31</t>
  </si>
  <si>
    <t>Loan disbursement</t>
  </si>
  <si>
    <t>CUST-1013</t>
  </si>
  <si>
    <t>ACC-553731</t>
  </si>
  <si>
    <t>Pooja Desai</t>
  </si>
  <si>
    <t>2026-08-14</t>
  </si>
  <si>
    <t>4200</t>
  </si>
  <si>
    <t>TXN-0013</t>
  </si>
  <si>
    <t>EMI payment</t>
  </si>
  <si>
    <t>Pooja Desai | 1987-02-14</t>
  </si>
  <si>
    <t>CUST-1014</t>
  </si>
  <si>
    <t>ACC-442620</t>
  </si>
  <si>
    <t>NIKHIL JOSHI</t>
  </si>
  <si>
    <t>2026-08-15</t>
  </si>
  <si>
    <t>CREDIT</t>
  </si>
  <si>
    <t>$18,900</t>
  </si>
  <si>
    <t>TXN-0014</t>
  </si>
  <si>
    <t>Consulting fees</t>
  </si>
  <si>
    <t>NIKHIL JOSHI | 1983-07-07</t>
  </si>
  <si>
    <t>1015</t>
  </si>
  <si>
    <t>ACC-331509</t>
  </si>
  <si>
    <t>preethi menon</t>
  </si>
  <si>
    <t>2026-08-16</t>
  </si>
  <si>
    <t>250</t>
  </si>
  <si>
    <t>TXN-0015</t>
  </si>
  <si>
    <t xml:space="preserve">  Food delivery  </t>
  </si>
  <si>
    <t>preethi menon | 2000-11-11</t>
  </si>
  <si>
    <t>CUST-1016</t>
  </si>
  <si>
    <t>ACC-220398</t>
  </si>
  <si>
    <t>Rohit  Kumar</t>
  </si>
  <si>
    <t>2026-08-17</t>
  </si>
  <si>
    <t>8000</t>
  </si>
  <si>
    <t>TXN-0016</t>
  </si>
  <si>
    <t>Part-time income</t>
  </si>
  <si>
    <t>Rohit Kumar | 1994-08-19</t>
  </si>
  <si>
    <t>CUST-1017</t>
  </si>
  <si>
    <t>ACC-119287</t>
  </si>
  <si>
    <t>LAKSHMI RAO</t>
  </si>
  <si>
    <t>2026-08-19</t>
  </si>
  <si>
    <t>1,050</t>
  </si>
  <si>
    <t>TXN-0017</t>
  </si>
  <si>
    <t>Mobile recharge</t>
  </si>
  <si>
    <t>LAKSHMI RAO | 1979-04-28</t>
  </si>
  <si>
    <t>CUST-1018</t>
  </si>
  <si>
    <t>ACC-008176</t>
  </si>
  <si>
    <t>Harsh Vardhan</t>
  </si>
  <si>
    <t>2026-08-20</t>
  </si>
  <si>
    <t>30000</t>
  </si>
  <si>
    <t>TXN-0018</t>
  </si>
  <si>
    <t>Quarterly bonus</t>
  </si>
  <si>
    <t>Harsh Vardhan | 1986-09-16</t>
  </si>
  <si>
    <t>CUST-1019</t>
  </si>
  <si>
    <t>ACC-997065</t>
  </si>
  <si>
    <t>DIVYA NAMBIAR</t>
  </si>
  <si>
    <t>21-Aug-2026</t>
  </si>
  <si>
    <t>$600</t>
  </si>
  <si>
    <t>TXN-0019</t>
  </si>
  <si>
    <t>Grocery shopping</t>
  </si>
  <si>
    <t>DIVYA NAMBIAR | 1992-03-03</t>
  </si>
  <si>
    <t xml:space="preserve"> CUST-1020</t>
  </si>
  <si>
    <t>ACC-886954</t>
  </si>
  <si>
    <t>sanjay kapoor</t>
  </si>
  <si>
    <t>2026-08-22</t>
  </si>
  <si>
    <t>5500</t>
  </si>
  <si>
    <t>TXN-0020</t>
  </si>
  <si>
    <t xml:space="preserve">  Freelance invoice  </t>
  </si>
  <si>
    <t>sanjay kapoor | 1989-12-25</t>
  </si>
  <si>
    <t>CUST-1021</t>
  </si>
  <si>
    <t>ACC-775843</t>
  </si>
  <si>
    <t>RADHA KRISHNA</t>
  </si>
  <si>
    <t>2026-08-23</t>
  </si>
  <si>
    <t>12,750</t>
  </si>
  <si>
    <t>TXN-0021</t>
  </si>
  <si>
    <t>Rental income</t>
  </si>
  <si>
    <t>RADHA KRISHNA | 1976-06-30</t>
  </si>
  <si>
    <t>1022</t>
  </si>
  <si>
    <t>ACC-664732</t>
  </si>
  <si>
    <t>mohan lal</t>
  </si>
  <si>
    <t>2026-08-24</t>
  </si>
  <si>
    <t>900</t>
  </si>
  <si>
    <t>TXN-0022</t>
  </si>
  <si>
    <t>Book purchase</t>
  </si>
  <si>
    <t>mohan lal | 1998-01-15</t>
  </si>
  <si>
    <t>CUST-1023</t>
  </si>
  <si>
    <t>ACC-553621</t>
  </si>
  <si>
    <t>Geeta Pillai</t>
  </si>
  <si>
    <t>2026-08-25</t>
  </si>
  <si>
    <t xml:space="preserve">Debit  </t>
  </si>
  <si>
    <t>2100</t>
  </si>
  <si>
    <t>TXN-0023</t>
  </si>
  <si>
    <t>School fees</t>
  </si>
  <si>
    <t>Geeta Pillai | 1984-05-02</t>
  </si>
  <si>
    <t>CUST -1024</t>
  </si>
  <si>
    <t>ACC-442510</t>
  </si>
  <si>
    <t>KIRAN BHAT</t>
  </si>
  <si>
    <t>$7,200.00</t>
  </si>
  <si>
    <t>TXN-0024</t>
  </si>
  <si>
    <t>Dividend credit</t>
  </si>
  <si>
    <t>KIRAN BHAT | 1981-08-21</t>
  </si>
  <si>
    <t>CUST-1025</t>
  </si>
  <si>
    <t>ACC-331399</t>
  </si>
  <si>
    <t>nisha thomas</t>
  </si>
  <si>
    <t>$350</t>
  </si>
  <si>
    <t>TXN-0025</t>
  </si>
  <si>
    <t>Streaming subscription</t>
  </si>
  <si>
    <t>nisha thomas | 2001-03-07</t>
  </si>
  <si>
    <t>CUST-1026</t>
  </si>
  <si>
    <t>ACC-220288</t>
  </si>
  <si>
    <t>VISHAL AGARWAL</t>
  </si>
  <si>
    <t>25000</t>
  </si>
  <si>
    <t>TXN-0026</t>
  </si>
  <si>
    <t xml:space="preserve">   Project bonus   </t>
  </si>
  <si>
    <t>VISHAL AGARWAL | 1977-11-18</t>
  </si>
  <si>
    <t>CUST-1027</t>
  </si>
  <si>
    <t>ACC-119177</t>
  </si>
  <si>
    <t>Sunita Rao</t>
  </si>
  <si>
    <t>1800</t>
  </si>
  <si>
    <t>TXN-0027</t>
  </si>
  <si>
    <t>Monthly subscription</t>
  </si>
  <si>
    <t>Sunita Rao | 1993-06-06</t>
  </si>
  <si>
    <t>1028</t>
  </si>
  <si>
    <t>ACC-008066</t>
  </si>
  <si>
    <t>rajan pillai</t>
  </si>
  <si>
    <t>25/08/2026</t>
  </si>
  <si>
    <t>14000</t>
  </si>
  <si>
    <t>TXN-0028</t>
  </si>
  <si>
    <t>Salary advance</t>
  </si>
  <si>
    <t>rajan pillai | 1980-09-29</t>
  </si>
  <si>
    <t>LEGEND:   🔴 Pink fill = Duplicate row   |   🟡 Yellow fill = Blank value   |   🟠 Orange text = Inconsistent format   |   Find hidden chars &amp; spacing issues in Notes column</t>
  </si>
  <si>
    <t>Customer_ID_Clean</t>
  </si>
  <si>
    <t>Customer_Name_Clean</t>
  </si>
  <si>
    <t>Transaction_Type_Clean</t>
  </si>
  <si>
    <t>Amount_Clean</t>
  </si>
  <si>
    <t>Branch_Code_Clean</t>
  </si>
  <si>
    <t>Notes_Clean</t>
  </si>
  <si>
    <t>✏️  PRACTICE AREA  —  Apply formulas below. Rows 3-32 are pre-filled with starter formulas. Study each formula, then practice editing/extending them.</t>
  </si>
  <si>
    <t>💡  Blue cells = Excel formulas (click to see)   |   After removing duplicates from Raw_Data, re-check which rows disappear here   |   Column D (Date): practice Text-to-Columns &amp; date formatting manually in Excel</t>
  </si>
  <si>
    <t>🏆  CHALLENGE TASKS  —  Complete these without hints</t>
  </si>
  <si>
    <t>C1</t>
  </si>
  <si>
    <t>Count how many Customer_IDs were missing the 'CUST-' prefix in Raw_Data</t>
  </si>
  <si>
    <t>Hint: COUNTIF + wildcard on Raw_Data!A:A</t>
  </si>
  <si>
    <t>C2</t>
  </si>
  <si>
    <t>Count rows where Branch_Code was blank in Raw_Data</t>
  </si>
  <si>
    <t>Hint: COUNTBLANK(Raw_Data!H2:H31)</t>
  </si>
  <si>
    <t>C3</t>
  </si>
  <si>
    <t>Calculate total Amount after cleaning (exclude 'CHECK' errors)</t>
  </si>
  <si>
    <t>Hint: SUMIF on column F of this sheet</t>
  </si>
  <si>
    <t>C4</t>
  </si>
  <si>
    <t>Find how many duplicate Transaction_IDs exist in Raw_Data</t>
  </si>
  <si>
    <t>Hint: COUNTIF(Raw_Data!I:I, Raw_Data!I2) &gt; 1</t>
  </si>
  <si>
    <t>C5</t>
  </si>
  <si>
    <t>List unique Transaction_Types using PROPER casing</t>
  </si>
  <si>
    <t>Hint: Use Remove Duplicates on a copy of col E</t>
  </si>
  <si>
    <t>Your answers (type formulas in column B beside each challenge number above):</t>
  </si>
  <si>
    <t>Status</t>
  </si>
  <si>
    <t>KPMG Operations Analyst – Week 1 | Lab: Data Sorting</t>
  </si>
  <si>
    <t>Day 1 Practice  |  Estimated time: 25–30 minutes  |  Dataset: 27 banking transactions</t>
  </si>
  <si>
    <t xml:space="preserve">  🎯  Learning objectives</t>
  </si>
  <si>
    <t>By the end of this lab you can:</t>
  </si>
  <si>
    <t>1.  Sort a single column ascending / descending without breaking row integrity</t>
  </si>
  <si>
    <t>2.  Apply a multi-level (two- or three-key) sort using Data → Sort</t>
  </si>
  <si>
    <t>3.  Sort text, numbers and dates and explain why each behaves differently</t>
  </si>
  <si>
    <t>4.  Build a Custom List to sort in a business order (not A–Z)</t>
  </si>
  <si>
    <t>5.  Sort left-to-right (by row) and sort by cell colour</t>
  </si>
  <si>
    <t>6.  Replace manual sorting with dynamic SORT / SORTBY / LARGE / RANK formulas</t>
  </si>
  <si>
    <t xml:space="preserve">  ⚠️  Golden rule</t>
  </si>
  <si>
    <t>Never sort one column on its own. Click any single cell inside the table (or select the whole block B17:G44) so Excel keeps each transaction's row together. Sorting only the Amount column silently scrambles the ledger — this is the #1 audit error.</t>
  </si>
  <si>
    <t xml:space="preserve">  📊  Practice dataset  —  sort THIS table (B17:G44). Source: cleaned Day-1 transaction ledger.</t>
  </si>
  <si>
    <t>Amount (INR)</t>
  </si>
  <si>
    <t>Rahul Mehta</t>
  </si>
  <si>
    <t>Ananya Iyer</t>
  </si>
  <si>
    <t>UNKNOWN</t>
  </si>
  <si>
    <t>TXN-0005</t>
  </si>
  <si>
    <t>Amit Patel</t>
  </si>
  <si>
    <t>Ritu Gupta</t>
  </si>
  <si>
    <t>Meena Krishnan</t>
  </si>
  <si>
    <t>Arjun Bose</t>
  </si>
  <si>
    <t>Kavya Reddy</t>
  </si>
  <si>
    <t>Nikhil Joshi</t>
  </si>
  <si>
    <t>Preethi Menon</t>
  </si>
  <si>
    <t>Rohit Kumar</t>
  </si>
  <si>
    <t>Lakshmi Rao</t>
  </si>
  <si>
    <t>Divya Nambiar</t>
  </si>
  <si>
    <t>Sanjay Kapoor</t>
  </si>
  <si>
    <t>Radha Krishna</t>
  </si>
  <si>
    <t>Mohan Lal</t>
  </si>
  <si>
    <t>Kiran Bhat</t>
  </si>
  <si>
    <t>Nisha Thomas</t>
  </si>
  <si>
    <t>Vishal Agarwal</t>
  </si>
  <si>
    <t>Rajan Pillai</t>
  </si>
  <si>
    <t xml:space="preserve">  🧪  Lab exercises  —  do each one on the table above, then undo (Ctrl+Z) before the next</t>
  </si>
  <si>
    <t>#</t>
  </si>
  <si>
    <t>Task</t>
  </si>
  <si>
    <t>How to do it in Excel</t>
  </si>
  <si>
    <t>Expected result / self-check</t>
  </si>
  <si>
    <t>L1</t>
  </si>
  <si>
    <t>Sort the ledger by Amount, largest first</t>
  </si>
  <si>
    <t>Click any cell in F17:F44 → Data → Sort Z→A (Largest to Smallest)</t>
  </si>
  <si>
    <t>Row 18 = Deepak Verma, 45,000. Last row = Preethi Menon, 250</t>
  </si>
  <si>
    <t>L2</t>
  </si>
  <si>
    <t>Sort by Customer_Name A→Z</t>
  </si>
  <si>
    <t>Click any cell in C17:C44 → Data → Sort A→Z</t>
  </si>
  <si>
    <t>First = Amit Patel, last = Vishal Agarwal (text sorts alphabetically, ignoring case)</t>
  </si>
  <si>
    <t>L3</t>
  </si>
  <si>
    <t>Sort by Transaction_Date oldest → newest</t>
  </si>
  <si>
    <t>Click any cell in D17:D44 → Data → Sort Oldest to Newest</t>
  </si>
  <si>
    <t>01-Aug rows first. If dates sort like text, they are stored as text — fix the format first</t>
  </si>
  <si>
    <t>L4</t>
  </si>
  <si>
    <t>Two-level sort: Branch_Code A→Z, then Amount largest first</t>
  </si>
  <si>
    <t>Data → Sort → Sort by Branch_Code (A→Z) → Add Level → Then by Amount (Largest to Smallest)</t>
  </si>
  <si>
    <t>L5</t>
  </si>
  <si>
    <t>Three-level sort: Transaction_Type, then Branch_Code, then Date</t>
  </si>
  <si>
    <t>Data → Sort → add three levels in that order (top level wins)</t>
  </si>
  <si>
    <t>All Credits appear before all Debits; inside each type branches run BRN-01 → UNKNOWN</t>
  </si>
  <si>
    <t>L6</t>
  </si>
  <si>
    <t>Custom List sort: put UNKNOWN branches at the top, then BRN-01…BRN-05</t>
  </si>
  <si>
    <t>Data → Sort → Sort by Branch_Code → Order → Custom List… → type: UNKNOWN, BRN-01, BRN-02, BRN-03, BRN-04, BRN-05</t>
  </si>
  <si>
    <t>The 5 UNKNOWN rows sit at the top — this is how you triage missing reference data</t>
  </si>
  <si>
    <t>L7</t>
  </si>
  <si>
    <t>Sort by colour</t>
  </si>
  <si>
    <t>Fill any 3 Amount cells yellow → Data → Sort → Sort On: Cell Color → Order: yellow On Top</t>
  </si>
  <si>
    <t>The 3 highlighted rows move to the top; colour order is not automatic, you define it</t>
  </si>
  <si>
    <t>L8</t>
  </si>
  <si>
    <t>Sort left to right (by row)</t>
  </si>
  <si>
    <t>Select B17:G17 headers only → Data → Sort → Options… → Sort left to right</t>
  </si>
  <si>
    <t>Column order becomes Amount, Branch, Customer, Transaction_Date, Transaction_ID, Transaction_Type. Undo afterwards</t>
  </si>
  <si>
    <t>L9</t>
  </si>
  <si>
    <t>Break it on purpose: select ONLY F18:F44 and sort Z→A</t>
  </si>
  <si>
    <t>Select just the Amount cells → Sort → choose 'Continue with the current selection'</t>
  </si>
  <si>
    <t>Amounts no longer match customers — the ledger is corrupted. Press Ctrl+Z and note why range selection matters</t>
  </si>
  <si>
    <t>BRN-01 block runs 25,000 → 18,900 → 15,000 → 11,000 → 5,500 → 3,750</t>
  </si>
  <si>
    <t xml:space="preserve">  ⚡  Sorting with formulas  —  results update automatically, source table untouched</t>
  </si>
  <si>
    <t>Metric</t>
  </si>
  <si>
    <t>Result</t>
  </si>
  <si>
    <t>Formula used</t>
  </si>
  <si>
    <t>Largest amount</t>
  </si>
  <si>
    <t>=MAX($F$18:$F$44)</t>
  </si>
  <si>
    <t>2nd largest amount</t>
  </si>
  <si>
    <t>=LARGE($F$18:$F$44,2)</t>
  </si>
  <si>
    <t>3rd largest amount</t>
  </si>
  <si>
    <t>=LARGE($F$18:$F$44,3)</t>
  </si>
  <si>
    <t>Smallest amount</t>
  </si>
  <si>
    <t>=SMALL($F$18:$F$44,1)</t>
  </si>
  <si>
    <t>Customer with largest amount</t>
  </si>
  <si>
    <t>=INDEX(C:C,MATCH(MAX(F:F),F:F,0))</t>
  </si>
  <si>
    <t>Rank of row 18's amount</t>
  </si>
  <si>
    <t>=RANK.EQ(F18,$F$18:$F$44,0)  — 0 = descending rank</t>
  </si>
  <si>
    <t xml:space="preserve">  Live sorted view  —  Amount high → low. This block re-sorts itself; the ledger above never moves.</t>
  </si>
  <si>
    <t>Names sorted by Branch A→Z, then Amount high→low  =SORTBY(...)</t>
  </si>
  <si>
    <t xml:space="preserve">  🏆  Challenge &amp; debrief</t>
  </si>
  <si>
    <t>S1</t>
  </si>
  <si>
    <t>Which branch holds the single largest Debit? Sort by Type then Amount to find it, then prove it with a formula in D98.</t>
  </si>
  <si>
    <t>S2</t>
  </si>
  <si>
    <t>Sort by Date newest first — six rows share 25-Aug. What decides their order, and how do you control it? (Answer: add a second sort level.)</t>
  </si>
  <si>
    <t>S3</t>
  </si>
  <si>
    <t>Convert B17:G44 to a Table (Ctrl+T) and sort from the header drop-downs. Note two advantages over sorting a plain range.</t>
  </si>
  <si>
    <t>S4</t>
  </si>
  <si>
    <t>Add a row for TXN-0029 at the bottom, then re-sort. Explain why the SORT formula block updated but the manual sort did not.</t>
  </si>
  <si>
    <t>S5</t>
  </si>
  <si>
    <t>Take-away: manual sort = one-time reorder of the source; SORT/SORTBY = a live view that leaves the audit trail intact.</t>
  </si>
  <si>
    <t>CHECK</t>
  </si>
  <si>
    <t>Column1</t>
  </si>
  <si>
    <t>Count()</t>
  </si>
  <si>
    <t>Reconciliation Demo — Ledger vs Bank Statement</t>
  </si>
  <si>
    <t>Purpose: match every ledger transaction to the bank statement, explain every difference, and tie the two totals out to zero.</t>
  </si>
  <si>
    <t>Matching tolerance (INR)</t>
  </si>
  <si>
    <t>1. LEDGER (source: Cleaned_Data-Week1- Day 2)</t>
  </si>
  <si>
    <t>2. BANK STATEMENT (imported — exercise data)</t>
  </si>
  <si>
    <t>3. RECONCILIATION (ledger side)</t>
  </si>
  <si>
    <t>Txn ID</t>
  </si>
  <si>
    <t>Date</t>
  </si>
  <si>
    <t>Type</t>
  </si>
  <si>
    <t>Ledger Amount</t>
  </si>
  <si>
    <t>Bank Amount</t>
  </si>
  <si>
    <t>In Ledger?</t>
  </si>
  <si>
    <t>Ledger count</t>
  </si>
  <si>
    <t>Ledger Amt</t>
  </si>
  <si>
    <t>Bank Amt</t>
  </si>
  <si>
    <t>Difference</t>
  </si>
  <si>
    <t>In Ledger</t>
  </si>
  <si>
    <t>-</t>
  </si>
  <si>
    <t>Matched</t>
  </si>
  <si>
    <t>Duplicate ID - review</t>
  </si>
  <si>
    <t>TXN-9001</t>
  </si>
  <si>
    <t>Missing in Ledger</t>
  </si>
  <si>
    <t>Amount Mismatch</t>
  </si>
  <si>
    <t>Missing in Bank</t>
  </si>
  <si>
    <t>4. SUMMARY &amp; TIE-OUT</t>
  </si>
  <si>
    <t>OBJECTIVE OF THIS RECONCILIATION</t>
  </si>
  <si>
    <t>Ledger total</t>
  </si>
  <si>
    <t>Objective: prove that the transactions recorded in the company's ledger agree with the transactions recorded by the bank — and where they do not agree, identify and explain every difference.</t>
  </si>
  <si>
    <t>Bank total</t>
  </si>
  <si>
    <t>Why it matters: a reconciliation is the control that detects missing entries, duplicate postings, keying errors and unrecorded bank activity before they reach the financial statements.</t>
  </si>
  <si>
    <t>Unexplained difference</t>
  </si>
  <si>
    <t>Success test: the gross difference between the two totals must be fully accounted for by named reconciling items, leaving an unexplained difference of zero (cell B23).</t>
  </si>
  <si>
    <t>Amount mismatches</t>
  </si>
  <si>
    <t>METHOD (4 steps)</t>
  </si>
  <si>
    <t>Step 1 — Prepare both populations: ledger (block 1, linked from the cleaned data) and bank statement (block 2, imported).</t>
  </si>
  <si>
    <t>Duplicate IDs in ledger</t>
  </si>
  <si>
    <t>Step 2 — Match on a unique key (Transaction ID) using INDEX/MATCH, and compare amounts within an agreed tolerance (cell B4).</t>
  </si>
  <si>
    <t>Missing in Ledger (bank-only)</t>
  </si>
  <si>
    <t>Step 3 — Classify every unmatched or differing row: Amount Mismatch, Missing in Bank, Missing in Ledger, or Duplicate ID.</t>
  </si>
  <si>
    <t>Reconciling items (explained)</t>
  </si>
  <si>
    <t>Step 4 — Bridge the two totals: list each exception as a reconciling item and confirm the residual is nil.</t>
  </si>
  <si>
    <t xml:space="preserve">   Amount mismatch differences</t>
  </si>
  <si>
    <t xml:space="preserve">   Ledger-only items (missing in bank)</t>
  </si>
  <si>
    <t>OUTCOME</t>
  </si>
  <si>
    <t xml:space="preserve">   Duplicate ledger entries (excess)</t>
  </si>
  <si>
    <t>Gross difference of 8,100.00 is explained by 5 exception(s); unexplained difference = 0.00.</t>
  </si>
  <si>
    <t xml:space="preserve">   Bank-only items (missing in ledger)</t>
  </si>
  <si>
    <t>Reconciled?</t>
  </si>
  <si>
    <t>YES - fully explained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</si>
</sst>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\/mm\/yyyy"/>
    <numFmt numFmtId="165" formatCode="dd/mmm/yyyy"/>
    <numFmt numFmtId="166" formatCode="[$-1009]d/mmm/yy;@"/>
    <numFmt numFmtId="167" formatCode="&quot;$&quot;#,##0.00;[Red]&quot;$&quot;#,##0.00"/>
    <numFmt numFmtId="172" formatCode="#,##0.00;\(#,##0.00\);\-"/>
  </numFmts>
  <fonts count="44" x14ac:knownFonts="1">
    <font>
      <sz val="11"/>
      <color theme="1"/>
      <name val="Calibri"/>
      <family val="2"/>
      <charset val="1"/>
    </font>
    <font>
      <b/>
      <sz val="15"/>
      <color rgb="FFFFFFFF"/>
      <name val="Arial"/>
      <family val="2"/>
    </font>
    <font>
      <i/>
      <sz val="11"/>
      <color rgb="FF8B0000"/>
      <name val="Arial"/>
      <family val="2"/>
    </font>
    <font>
      <b/>
      <sz val="11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sz val="9"/>
      <color rgb="FF0070C0"/>
      <name val="Courier New"/>
      <family val="1"/>
    </font>
    <font>
      <sz val="10"/>
      <color rgb="FFFF6600"/>
      <name val="Arial"/>
      <family val="2"/>
    </font>
    <font>
      <b/>
      <i/>
      <sz val="9"/>
      <color rgb="FF8B0000"/>
      <name val="Arial"/>
      <family val="2"/>
    </font>
    <font>
      <b/>
      <sz val="10"/>
      <color rgb="FF8B0000"/>
      <name val="Arial"/>
      <family val="2"/>
    </font>
    <font>
      <sz val="10"/>
      <color rgb="FF0070C0"/>
      <name val="Arial"/>
      <family val="2"/>
    </font>
    <font>
      <i/>
      <sz val="9"/>
      <color rgb="FF00008B"/>
      <name val="Arial"/>
      <family val="2"/>
    </font>
    <font>
      <i/>
      <sz val="9"/>
      <color rgb="FF555555"/>
      <name val="Arial"/>
      <family val="2"/>
    </font>
    <font>
      <i/>
      <sz val="9"/>
      <color rgb="FF8B0000"/>
      <name val="Arial"/>
      <family val="2"/>
    </font>
    <font>
      <b/>
      <sz val="10"/>
      <color theme="4" tint="-0.249977111117893"/>
      <name val="Arial"/>
      <family val="2"/>
    </font>
    <font>
      <sz val="10.5"/>
      <color rgb="FF404040"/>
      <name val="Arial"/>
      <family val="2"/>
    </font>
    <font>
      <sz val="9.5"/>
      <color rgb="FF404040"/>
      <name val="Arial"/>
      <family val="2"/>
    </font>
    <font>
      <sz val="10.5"/>
      <color rgb="FF1A4F91"/>
      <name val="Courier New"/>
      <family val="1"/>
    </font>
    <font>
      <b/>
      <sz val="10"/>
      <color rgb="FF0070C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404040"/>
      <name val="Arial"/>
      <family val="2"/>
    </font>
    <font>
      <sz val="10"/>
      <color rgb="FF006100"/>
      <name val="Arial"/>
      <family val="2"/>
    </font>
    <font>
      <i/>
      <sz val="10"/>
      <color theme="1"/>
      <name val="Arial"/>
      <family val="2"/>
    </font>
    <font>
      <sz val="11"/>
      <color rgb="FF14181F"/>
      <name val="Courier New"/>
      <family val="1"/>
    </font>
    <font>
      <b/>
      <sz val="11"/>
      <color rgb="FF000000"/>
      <name val="Aptos"/>
    </font>
    <font>
      <sz val="11"/>
      <color rgb="FF000000"/>
      <name val="Courier New"/>
      <family val="1"/>
    </font>
    <font>
      <sz val="11"/>
      <color rgb="FF000000"/>
      <name val="Aptos"/>
    </font>
    <font>
      <sz val="10"/>
      <color theme="1"/>
      <name val="Arial Unicode MS"/>
      <family val="2"/>
    </font>
    <font>
      <sz val="12"/>
      <color rgb="FF000000"/>
      <name val="Courier New"/>
      <family val="1"/>
    </font>
    <font>
      <b/>
      <sz val="14"/>
      <color rgb="FFC00000"/>
      <name val="Calibri"/>
      <family val="2"/>
      <charset val="1"/>
    </font>
    <font>
      <sz val="11"/>
      <color rgb="FF000000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FF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006100"/>
      <name val="Calibri"/>
      <family val="2"/>
      <charset val="1"/>
    </font>
    <font>
      <sz val="11"/>
      <color rgb="FF9C5700"/>
      <name val="Calibri"/>
      <family val="2"/>
      <charset val="1"/>
    </font>
    <font>
      <sz val="11"/>
      <color rgb="FF9C0006"/>
      <name val="Calibri"/>
      <family val="2"/>
      <charset val="1"/>
    </font>
    <font>
      <i/>
      <sz val="11"/>
      <color rgb="FF404040"/>
      <name val="Calibri"/>
      <family val="2"/>
      <charset val="1"/>
    </font>
    <font>
      <sz val="11"/>
      <color rgb="FF404040"/>
      <name val="Calibri"/>
      <family val="2"/>
      <charset val="1"/>
    </font>
    <font>
      <b/>
      <sz val="11"/>
      <color rgb="FF006100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rgb="FFC00000"/>
        <bgColor rgb="FF8B0000"/>
      </patternFill>
    </fill>
    <fill>
      <patternFill patternType="solid">
        <fgColor rgb="FFFFE7E7"/>
        <bgColor rgb="FFF2F2F2"/>
      </patternFill>
    </fill>
    <fill>
      <patternFill patternType="solid">
        <fgColor rgb="FF8B0000"/>
        <bgColor rgb="FF800000"/>
      </patternFill>
    </fill>
    <fill>
      <patternFill patternType="solid">
        <fgColor rgb="FFF2F2F2"/>
        <bgColor rgb="FFEBF3FB"/>
      </patternFill>
    </fill>
    <fill>
      <patternFill patternType="solid">
        <fgColor rgb="FFFFF2CC"/>
        <bgColor rgb="FFFFE7E7"/>
      </patternFill>
    </fill>
    <fill>
      <patternFill patternType="solid">
        <fgColor rgb="FFFFD7D7"/>
        <bgColor rgb="FFFFE7E7"/>
      </patternFill>
    </fill>
    <fill>
      <patternFill patternType="solid">
        <fgColor rgb="FFE2EFDA"/>
        <bgColor rgb="FFF2F2F2"/>
      </patternFill>
    </fill>
    <fill>
      <patternFill patternType="solid">
        <fgColor rgb="FFEBF3FB"/>
        <bgColor rgb="FFF2F2F2"/>
      </patternFill>
    </fill>
    <fill>
      <patternFill patternType="solid">
        <fgColor theme="8" tint="0.79998168889431442"/>
        <bgColor rgb="FF8B0000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E7E7"/>
        <bgColor indexed="64"/>
      </patternFill>
    </fill>
    <fill>
      <patternFill patternType="solid">
        <fgColor rgb="FF8B00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485"/>
        <bgColor rgb="FFF2F2F2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548235"/>
        <bgColor rgb="FF000000"/>
      </patternFill>
    </fill>
    <fill>
      <patternFill patternType="solid">
        <fgColor rgb="FF7030A0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E4DFEC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C7CE"/>
        <bgColor rgb="FF000000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126">
    <xf numFmtId="0" fontId="0" fillId="0" borderId="0" xfId="0"/>
    <xf numFmtId="0" fontId="5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6" fillId="0" borderId="1" xfId="0" applyFont="1" applyBorder="1"/>
    <xf numFmtId="0" fontId="8" fillId="0" borderId="1" xfId="0" applyFont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8" fillId="7" borderId="1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0" fontId="15" fillId="10" borderId="1" xfId="0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4" fillId="11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horizontal="left" vertical="center" wrapText="1"/>
    </xf>
    <xf numFmtId="0" fontId="16" fillId="0" borderId="0" xfId="0" applyFont="1"/>
    <xf numFmtId="164" fontId="0" fillId="0" borderId="0" xfId="0" applyNumberFormat="1"/>
    <xf numFmtId="14" fontId="0" fillId="0" borderId="0" xfId="0" applyNumberFormat="1"/>
    <xf numFmtId="165" fontId="17" fillId="0" borderId="0" xfId="0" applyNumberFormat="1" applyFont="1"/>
    <xf numFmtId="0" fontId="18" fillId="0" borderId="0" xfId="0" applyFont="1" applyAlignment="1">
      <alignment horizontal="left" vertical="center" indent="3"/>
    </xf>
    <xf numFmtId="0" fontId="19" fillId="8" borderId="1" xfId="0" applyFont="1" applyFill="1" applyBorder="1" applyAlignment="1">
      <alignment horizontal="left" vertical="center" wrapText="1"/>
    </xf>
    <xf numFmtId="166" fontId="4" fillId="0" borderId="1" xfId="0" applyNumberFormat="1" applyFont="1" applyBorder="1" applyAlignment="1">
      <alignment horizontal="left" vertical="center" wrapText="1"/>
    </xf>
    <xf numFmtId="14" fontId="4" fillId="0" borderId="1" xfId="0" applyNumberFormat="1" applyFont="1" applyBorder="1" applyAlignment="1">
      <alignment horizontal="left" vertical="center" wrapText="1"/>
    </xf>
    <xf numFmtId="14" fontId="4" fillId="7" borderId="1" xfId="0" applyNumberFormat="1" applyFont="1" applyFill="1" applyBorder="1" applyAlignment="1">
      <alignment horizontal="left" vertical="center" wrapText="1"/>
    </xf>
    <xf numFmtId="15" fontId="4" fillId="0" borderId="1" xfId="0" applyNumberFormat="1" applyFont="1" applyBorder="1" applyAlignment="1">
      <alignment horizontal="left" vertical="center" wrapText="1"/>
    </xf>
    <xf numFmtId="167" fontId="4" fillId="0" borderId="1" xfId="0" applyNumberFormat="1" applyFont="1" applyBorder="1" applyAlignment="1">
      <alignment horizontal="left" vertical="center" wrapText="1"/>
    </xf>
    <xf numFmtId="0" fontId="4" fillId="12" borderId="1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center" vertical="center" wrapText="1"/>
    </xf>
    <xf numFmtId="0" fontId="3" fillId="15" borderId="0" xfId="0" applyFont="1" applyFill="1"/>
    <xf numFmtId="0" fontId="20" fillId="0" borderId="0" xfId="0" applyFont="1"/>
    <xf numFmtId="0" fontId="21" fillId="0" borderId="0" xfId="0" applyFont="1"/>
    <xf numFmtId="0" fontId="5" fillId="13" borderId="0" xfId="0" applyFont="1" applyFill="1" applyAlignment="1">
      <alignment horizontal="center"/>
    </xf>
    <xf numFmtId="0" fontId="20" fillId="0" borderId="3" xfId="0" applyFont="1" applyBorder="1"/>
    <xf numFmtId="0" fontId="20" fillId="0" borderId="4" xfId="0" applyFont="1" applyBorder="1"/>
    <xf numFmtId="0" fontId="20" fillId="0" borderId="5" xfId="0" applyFont="1" applyBorder="1"/>
    <xf numFmtId="0" fontId="20" fillId="0" borderId="6" xfId="0" applyFont="1" applyBorder="1"/>
    <xf numFmtId="0" fontId="20" fillId="0" borderId="7" xfId="0" applyFont="1" applyBorder="1"/>
    <xf numFmtId="0" fontId="20" fillId="0" borderId="8" xfId="0" applyFont="1" applyBorder="1"/>
    <xf numFmtId="14" fontId="20" fillId="0" borderId="4" xfId="0" applyNumberFormat="1" applyFont="1" applyBorder="1"/>
    <xf numFmtId="14" fontId="20" fillId="0" borderId="7" xfId="0" applyNumberFormat="1" applyFont="1" applyBorder="1"/>
    <xf numFmtId="4" fontId="20" fillId="0" borderId="4" xfId="0" applyNumberFormat="1" applyFont="1" applyBorder="1"/>
    <xf numFmtId="4" fontId="20" fillId="0" borderId="7" xfId="0" applyNumberFormat="1" applyFont="1" applyBorder="1"/>
    <xf numFmtId="0" fontId="21" fillId="17" borderId="0" xfId="0" applyFont="1" applyFill="1"/>
    <xf numFmtId="0" fontId="11" fillId="0" borderId="0" xfId="0" applyFont="1"/>
    <xf numFmtId="14" fontId="11" fillId="0" borderId="0" xfId="0" applyNumberFormat="1" applyFont="1"/>
    <xf numFmtId="4" fontId="11" fillId="0" borderId="0" xfId="0" applyNumberFormat="1" applyFont="1"/>
    <xf numFmtId="0" fontId="5" fillId="13" borderId="3" xfId="0" applyFont="1" applyFill="1" applyBorder="1" applyAlignment="1">
      <alignment horizontal="center"/>
    </xf>
    <xf numFmtId="0" fontId="5" fillId="13" borderId="4" xfId="0" applyFont="1" applyFill="1" applyBorder="1" applyAlignment="1">
      <alignment horizontal="center"/>
    </xf>
    <xf numFmtId="0" fontId="5" fillId="13" borderId="5" xfId="0" applyFont="1" applyFill="1" applyBorder="1" applyAlignment="1">
      <alignment horizontal="center"/>
    </xf>
    <xf numFmtId="0" fontId="5" fillId="13" borderId="3" xfId="0" applyFont="1" applyFill="1" applyBorder="1" applyAlignment="1">
      <alignment horizontal="center" vertical="top"/>
    </xf>
    <xf numFmtId="0" fontId="5" fillId="13" borderId="4" xfId="0" applyFont="1" applyFill="1" applyBorder="1" applyAlignment="1">
      <alignment horizontal="center" vertical="top"/>
    </xf>
    <xf numFmtId="0" fontId="5" fillId="13" borderId="5" xfId="0" applyFont="1" applyFill="1" applyBorder="1" applyAlignment="1">
      <alignment horizontal="center" vertical="top"/>
    </xf>
    <xf numFmtId="0" fontId="21" fillId="0" borderId="7" xfId="0" applyFont="1" applyBorder="1" applyAlignment="1">
      <alignment vertical="top"/>
    </xf>
    <xf numFmtId="0" fontId="20" fillId="0" borderId="6" xfId="0" applyFont="1" applyBorder="1" applyAlignment="1">
      <alignment horizontal="center" vertical="top"/>
    </xf>
    <xf numFmtId="0" fontId="22" fillId="0" borderId="7" xfId="0" applyFont="1" applyBorder="1" applyAlignment="1">
      <alignment vertical="top"/>
    </xf>
    <xf numFmtId="0" fontId="23" fillId="0" borderId="8" xfId="0" applyFont="1" applyBorder="1" applyAlignment="1">
      <alignment vertical="top"/>
    </xf>
    <xf numFmtId="0" fontId="7" fillId="0" borderId="8" xfId="0" quotePrefix="1" applyFont="1" applyBorder="1"/>
    <xf numFmtId="0" fontId="24" fillId="16" borderId="0" xfId="0" applyFont="1" applyFill="1"/>
    <xf numFmtId="0" fontId="5" fillId="2" borderId="9" xfId="0" applyFont="1" applyFill="1" applyBorder="1" applyAlignment="1">
      <alignment horizontal="center" vertical="center" wrapText="1"/>
    </xf>
    <xf numFmtId="0" fontId="11" fillId="8" borderId="10" xfId="0" applyFont="1" applyFill="1" applyBorder="1" applyAlignment="1">
      <alignment horizontal="left" vertical="center" wrapText="1"/>
    </xf>
    <xf numFmtId="0" fontId="11" fillId="8" borderId="11" xfId="0" applyFont="1" applyFill="1" applyBorder="1" applyAlignment="1">
      <alignment horizontal="left" vertical="center" wrapText="1"/>
    </xf>
    <xf numFmtId="0" fontId="11" fillId="8" borderId="2" xfId="0" applyFont="1" applyFill="1" applyBorder="1" applyAlignment="1">
      <alignment horizontal="left" vertical="center" wrapText="1"/>
    </xf>
    <xf numFmtId="0" fontId="19" fillId="8" borderId="2" xfId="0" applyFont="1" applyFill="1" applyBorder="1" applyAlignment="1">
      <alignment horizontal="left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11" fillId="8" borderId="14" xfId="0" applyFont="1" applyFill="1" applyBorder="1" applyAlignment="1">
      <alignment horizontal="left" vertical="center" wrapText="1"/>
    </xf>
    <xf numFmtId="0" fontId="11" fillId="8" borderId="15" xfId="0" applyFont="1" applyFill="1" applyBorder="1" applyAlignment="1">
      <alignment horizontal="left" vertical="center" wrapText="1"/>
    </xf>
    <xf numFmtId="1" fontId="11" fillId="8" borderId="1" xfId="0" applyNumberFormat="1" applyFont="1" applyFill="1" applyBorder="1" applyAlignment="1">
      <alignment horizontal="left" vertical="center" wrapText="1"/>
    </xf>
    <xf numFmtId="1" fontId="11" fillId="8" borderId="10" xfId="0" applyNumberFormat="1" applyFont="1" applyFill="1" applyBorder="1" applyAlignment="1">
      <alignment horizontal="left" vertical="center" wrapText="1"/>
    </xf>
    <xf numFmtId="1" fontId="0" fillId="0" borderId="0" xfId="0" applyNumberFormat="1"/>
    <xf numFmtId="0" fontId="25" fillId="0" borderId="0" xfId="0" applyFont="1"/>
    <xf numFmtId="0" fontId="11" fillId="8" borderId="9" xfId="0" applyFont="1" applyFill="1" applyBorder="1" applyAlignment="1">
      <alignment horizontal="left" vertical="center" wrapText="1"/>
    </xf>
    <xf numFmtId="0" fontId="11" fillId="18" borderId="0" xfId="0" applyFont="1" applyFill="1" applyAlignment="1">
      <alignment horizontal="left" vertical="center" wrapText="1"/>
    </xf>
    <xf numFmtId="0" fontId="0" fillId="19" borderId="0" xfId="0" applyFill="1"/>
    <xf numFmtId="1" fontId="11" fillId="18" borderId="0" xfId="0" applyNumberFormat="1" applyFont="1" applyFill="1" applyAlignment="1">
      <alignment horizontal="left" vertical="center" wrapText="1"/>
    </xf>
    <xf numFmtId="0" fontId="26" fillId="0" borderId="0" xfId="0" applyFont="1" applyAlignment="1">
      <alignment horizontal="left" vertical="center" readingOrder="1"/>
    </xf>
    <xf numFmtId="0" fontId="27" fillId="0" borderId="0" xfId="0" applyFont="1" applyAlignment="1">
      <alignment horizontal="left" vertical="center" readingOrder="1"/>
    </xf>
    <xf numFmtId="0" fontId="28" fillId="0" borderId="0" xfId="0" applyFont="1" applyAlignment="1">
      <alignment horizontal="left" vertical="center" readingOrder="1"/>
    </xf>
    <xf numFmtId="0" fontId="29" fillId="0" borderId="0" xfId="0" applyFont="1"/>
    <xf numFmtId="0" fontId="30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wrapText="1"/>
    </xf>
    <xf numFmtId="0" fontId="13" fillId="0" borderId="2" xfId="0" applyFont="1" applyBorder="1" applyAlignment="1">
      <alignment horizontal="left" vertical="center" wrapText="1"/>
    </xf>
    <xf numFmtId="0" fontId="14" fillId="6" borderId="0" xfId="0" applyFont="1" applyFill="1" applyAlignment="1">
      <alignment horizontal="left" vertical="center" wrapText="1"/>
    </xf>
    <xf numFmtId="0" fontId="10" fillId="3" borderId="0" xfId="0" applyFont="1" applyFill="1" applyAlignment="1">
      <alignment horizontal="left" vertical="center" wrapText="1"/>
    </xf>
    <xf numFmtId="0" fontId="12" fillId="9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4" fillId="0" borderId="2" xfId="0" applyFont="1" applyBorder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4" fillId="0" borderId="0" xfId="0" applyFont="1" applyAlignment="1">
      <alignment vertical="top" wrapText="1"/>
    </xf>
    <xf numFmtId="0" fontId="3" fillId="15" borderId="0" xfId="0" applyFont="1" applyFill="1"/>
    <xf numFmtId="0" fontId="10" fillId="16" borderId="0" xfId="0" applyFont="1" applyFill="1"/>
    <xf numFmtId="0" fontId="1" fillId="13" borderId="0" xfId="0" applyFont="1" applyFill="1" applyAlignment="1">
      <alignment horizontal="center"/>
    </xf>
    <xf numFmtId="0" fontId="2" fillId="14" borderId="0" xfId="0" applyFont="1" applyFill="1" applyAlignment="1">
      <alignment horizontal="center"/>
    </xf>
    <xf numFmtId="0" fontId="20" fillId="16" borderId="0" xfId="0" applyFont="1" applyFill="1" applyAlignment="1">
      <alignment wrapText="1"/>
    </xf>
    <xf numFmtId="0" fontId="20" fillId="16" borderId="0" xfId="0" applyFont="1" applyFill="1"/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2" fontId="35" fillId="0" borderId="0" xfId="0" applyNumberFormat="1" applyFont="1"/>
    <xf numFmtId="0" fontId="36" fillId="20" borderId="0" xfId="0" applyFont="1" applyFill="1"/>
    <xf numFmtId="0" fontId="36" fillId="21" borderId="0" xfId="0" applyFont="1" applyFill="1"/>
    <xf numFmtId="0" fontId="36" fillId="22" borderId="0" xfId="0" applyFont="1" applyFill="1"/>
    <xf numFmtId="0" fontId="34" fillId="23" borderId="0" xfId="0" applyFont="1" applyFill="1"/>
    <xf numFmtId="0" fontId="34" fillId="24" borderId="0" xfId="0" applyFont="1" applyFill="1"/>
    <xf numFmtId="0" fontId="34" fillId="25" borderId="0" xfId="0" applyFont="1" applyFill="1"/>
    <xf numFmtId="0" fontId="37" fillId="0" borderId="0" xfId="0" applyFont="1"/>
    <xf numFmtId="0" fontId="37" fillId="0" borderId="0" xfId="0" applyNumberFormat="1" applyFont="1"/>
    <xf numFmtId="4" fontId="37" fillId="0" borderId="0" xfId="0" applyNumberFormat="1" applyFont="1"/>
    <xf numFmtId="0" fontId="35" fillId="0" borderId="0" xfId="0" applyFont="1"/>
    <xf numFmtId="4" fontId="35" fillId="0" borderId="0" xfId="0" applyNumberFormat="1" applyFont="1"/>
    <xf numFmtId="4" fontId="32" fillId="0" borderId="0" xfId="0" applyNumberFormat="1" applyFont="1"/>
    <xf numFmtId="172" fontId="32" fillId="0" borderId="0" xfId="0" applyNumberFormat="1" applyFont="1"/>
    <xf numFmtId="0" fontId="38" fillId="26" borderId="0" xfId="0" applyFont="1" applyFill="1"/>
    <xf numFmtId="0" fontId="39" fillId="27" borderId="0" xfId="0" applyFont="1" applyFill="1"/>
    <xf numFmtId="0" fontId="40" fillId="28" borderId="0" xfId="0" applyFont="1" applyFill="1"/>
    <xf numFmtId="0" fontId="36" fillId="20" borderId="0" xfId="0" applyFont="1" applyFill="1" applyAlignment="1">
      <alignment horizontal="left"/>
    </xf>
    <xf numFmtId="0" fontId="41" fillId="0" borderId="0" xfId="0" applyFont="1" applyAlignment="1">
      <alignment horizontal="left"/>
    </xf>
    <xf numFmtId="172" fontId="34" fillId="0" borderId="0" xfId="0" applyNumberFormat="1" applyFont="1"/>
    <xf numFmtId="0" fontId="32" fillId="0" borderId="0" xfId="0" applyFont="1" applyAlignment="1">
      <alignment horizontal="left"/>
    </xf>
    <xf numFmtId="0" fontId="42" fillId="0" borderId="0" xfId="0" applyFont="1" applyAlignment="1">
      <alignment horizontal="left"/>
    </xf>
    <xf numFmtId="0" fontId="43" fillId="0" borderId="0" xfId="0" applyFont="1" applyAlignment="1">
      <alignment horizontal="left"/>
    </xf>
  </cellXfs>
  <cellStyles count="1">
    <cellStyle name="Normal" xfId="0" builtinId="0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70C0"/>
        <name val="Arial"/>
        <family val="2"/>
        <scheme val="none"/>
      </font>
      <fill>
        <patternFill patternType="solid">
          <fgColor rgb="FFF2F2F2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70C0"/>
        <name val="Arial"/>
        <family val="2"/>
        <scheme val="none"/>
      </font>
      <fill>
        <patternFill patternType="solid">
          <fgColor rgb="FFF2F2F2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70C0"/>
        <name val="Arial"/>
        <family val="2"/>
        <scheme val="none"/>
      </font>
      <fill>
        <patternFill patternType="solid">
          <fgColor rgb="FFF2F2F2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BFBFBF"/>
        </left>
        <right/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70C0"/>
        <name val="Arial"/>
        <family val="2"/>
        <scheme val="none"/>
      </font>
      <fill>
        <patternFill patternType="solid">
          <fgColor rgb="FFF2F2F2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70C0"/>
        <name val="Arial"/>
        <family val="2"/>
        <scheme val="none"/>
      </font>
      <fill>
        <patternFill patternType="solid">
          <fgColor rgb="FFF2F2F2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70C0"/>
        <name val="Arial"/>
        <family val="2"/>
        <scheme val="none"/>
      </font>
      <fill>
        <patternFill patternType="solid">
          <fgColor rgb="FFF2F2F2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70C0"/>
        <name val="Arial"/>
        <family val="2"/>
        <scheme val="none"/>
      </font>
      <fill>
        <patternFill patternType="solid">
          <fgColor rgb="FFF2F2F2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70C0"/>
        <name val="Arial"/>
        <family val="2"/>
        <scheme val="none"/>
      </font>
      <fill>
        <patternFill patternType="solid">
          <fgColor rgb="FFF2F2F2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70C0"/>
        <name val="Arial"/>
        <family val="2"/>
        <scheme val="none"/>
      </font>
      <fill>
        <patternFill patternType="solid">
          <fgColor rgb="FFF2F2F2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70C0"/>
        <name val="Arial"/>
        <family val="2"/>
        <scheme val="none"/>
      </font>
      <fill>
        <patternFill patternType="solid">
          <fgColor rgb="FFF2F2F2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7C2D0A"/>
        <name val="Cambria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70C0"/>
        <name val="Arial"/>
        <family val="2"/>
        <scheme val="none"/>
      </font>
      <numFmt numFmtId="1" formatCode="0"/>
      <fill>
        <patternFill patternType="solid">
          <fgColor rgb="FFF2F2F2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70C0"/>
        <name val="Arial"/>
        <family val="2"/>
        <scheme val="none"/>
      </font>
      <fill>
        <patternFill patternType="solid">
          <fgColor rgb="FFF2F2F2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70C0"/>
        <name val="Arial"/>
        <family val="2"/>
        <scheme val="none"/>
      </font>
      <fill>
        <patternFill patternType="solid">
          <fgColor rgb="FFF2F2F2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70C0"/>
        <name val="Arial"/>
        <family val="2"/>
        <scheme val="none"/>
      </font>
      <fill>
        <patternFill patternType="solid">
          <fgColor rgb="FFF2F2F2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70C0"/>
        <name val="Arial"/>
        <family val="2"/>
        <scheme val="none"/>
      </font>
      <fill>
        <patternFill patternType="solid">
          <fgColor rgb="FFF2F2F2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70C0"/>
        <name val="Arial"/>
        <family val="2"/>
        <scheme val="none"/>
      </font>
      <fill>
        <patternFill patternType="solid">
          <fgColor rgb="FFF2F2F2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70C0"/>
        <name val="Arial"/>
        <family val="2"/>
        <scheme val="none"/>
      </font>
      <fill>
        <patternFill patternType="solid">
          <fgColor rgb="FFF2F2F2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70C0"/>
        <name val="Arial"/>
        <family val="2"/>
        <scheme val="none"/>
      </font>
      <fill>
        <patternFill patternType="solid">
          <fgColor rgb="FFF2F2F2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70C0"/>
        <name val="Arial"/>
        <family val="2"/>
        <scheme val="none"/>
      </font>
      <fill>
        <patternFill patternType="solid">
          <fgColor rgb="FFF2F2F2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70C0"/>
        <name val="Arial"/>
        <family val="2"/>
        <scheme val="none"/>
      </font>
      <fill>
        <patternFill patternType="solid">
          <fgColor rgb="FFF2F2F2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70C0"/>
        <name val="Arial"/>
        <family val="2"/>
        <scheme val="none"/>
      </font>
      <fill>
        <patternFill patternType="solid">
          <fgColor rgb="FFF2F2F2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70C0"/>
        <name val="Arial"/>
        <family val="2"/>
        <scheme val="none"/>
      </font>
      <fill>
        <patternFill patternType="solid">
          <fgColor rgb="FFF2F2F2"/>
          <bgColor rgb="FFE2EFDA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8B0000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B0000"/>
      <rgbColor rgb="FF008000"/>
      <rgbColor rgb="FF00008B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BF3FB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E7E7"/>
      <rgbColor rgb="FF99CCFF"/>
      <rgbColor rgb="FFFF99CC"/>
      <rgbColor rgb="FFCC99FF"/>
      <rgbColor rgb="FFFFD7D7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shu Jauhari" id="{4DA6D153-E09F-A344-9F6E-C12C5A58042A}" userId="S::ashu.jauhari.c@revature.com::c6b2cbfe-6656-4bc5-9412-0a190815dd52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87A313-6BBC-0F49-A598-98731A508B47}" name="Table2" displayName="Table2" ref="A1:K31" totalsRowShown="0" headerRowDxfId="26" dataDxfId="24" headerRowBorderDxfId="25" tableBorderDxfId="23" totalsRowBorderDxfId="22">
  <autoFilter ref="A1:K31" xr:uid="{2D87A313-6BBC-0F49-A598-98731A508B47}"/>
  <tableColumns count="11">
    <tableColumn id="1" xr3:uid="{03E99A06-B97C-6F42-8832-56901500EB95}" name="Customer_ID_Clean" dataDxfId="21" totalsRowDxfId="20">
      <calculatedColumnFormula>IF(LEFT(TRIM(Raw_Data!A2),5)="CUST-",UPPER(TRIM(Raw_Data!A2)),"CUST-"&amp;UPPER(TRIM(Raw_Data!A2)))</calculatedColumnFormula>
    </tableColumn>
    <tableColumn id="2" xr3:uid="{4F64A5E4-87BF-9046-9406-028C9F5D086B}" name="Account_Number" dataDxfId="19" totalsRowDxfId="18">
      <calculatedColumnFormula>Raw_Data!B2</calculatedColumnFormula>
    </tableColumn>
    <tableColumn id="3" xr3:uid="{7FE9B1C5-04A5-F04C-8146-55F3DB3953D8}" name="Customer_Name_Clean" dataDxfId="17" totalsRowDxfId="16">
      <calculatedColumnFormula>PROPER(TRIM(CLEAN(Raw_Data!C2)))</calculatedColumnFormula>
    </tableColumn>
    <tableColumn id="4" xr3:uid="{CAD3F16C-1AD2-C44A-9BBB-4D81FF648196}" name="Transaction_Date" dataDxfId="15" totalsRowDxfId="14">
      <calculatedColumnFormula>Raw_Data!D2</calculatedColumnFormula>
    </tableColumn>
    <tableColumn id="5" xr3:uid="{A147BFC7-F43E-2843-BC25-2D5A2110A9E4}" name="Transaction_Type_Clean" dataDxfId="13" totalsRowDxfId="12">
      <calculatedColumnFormula>PROPER(TRIM(Raw_Data!E2))</calculatedColumnFormula>
    </tableColumn>
    <tableColumn id="6" xr3:uid="{11547732-B736-E24D-8D90-CFD7AF54D76E}" name="Amount_Clean" dataDxfId="11" totalsRowDxfId="10">
      <calculatedColumnFormula>IFERROR(VALUE(SUBSTITUTE(SUBSTITUTE(TRIM(Raw_Data!F2),"$",""),",","")),"CHECK")</calculatedColumnFormula>
    </tableColumn>
    <tableColumn id="7" xr3:uid="{A872C469-B6D2-1A4A-9AD2-0258407C1CA6}" name="Currency" dataDxfId="9" totalsRowDxfId="8">
      <calculatedColumnFormula>Raw_Data!G2</calculatedColumnFormula>
    </tableColumn>
    <tableColumn id="8" xr3:uid="{C1744615-436E-ED4A-B771-FBE3463CF564}" name="Branch_Code_Clean" dataDxfId="7" totalsRowDxfId="6">
      <calculatedColumnFormula>IF(TRIM(Raw_Data!H2)="","UNKNOWN",TRIM(Raw_Data!H2))</calculatedColumnFormula>
    </tableColumn>
    <tableColumn id="9" xr3:uid="{B96ABEA8-6AF5-DD42-8E64-5DF3140FACDE}" name="Transaction_ID" dataDxfId="5" totalsRowDxfId="4">
      <calculatedColumnFormula>Raw_Data!I2</calculatedColumnFormula>
    </tableColumn>
    <tableColumn id="10" xr3:uid="{262B6DAC-BC71-464D-BC07-91DB985B267D}" name="Notes_Clean" dataDxfId="3" totalsRowDxfId="2">
      <calculatedColumnFormula>PROPER(TRIM(CLEAN(Raw_Data!J2)))</calculatedColumnFormula>
    </tableColumn>
    <tableColumn id="12" xr3:uid="{C17BBA40-8288-1C4F-A63B-A527583DF78E}" name="Column1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3" dT="2026-09-05T18:13:50.69" personId="{4DA6D153-E09F-A344-9F6E-C12C5A58042A}" id="{9A9D47CA-7C88-684E-9AA0-4DEBFACE5ABE}">
    <text>Missing value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39DDD48-EEFC-F947-BCEE-21B26D5B983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91fcef-68da-4503-b491-55cd18920d8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96643-3621-6743-8BC1-9A3F38661209}">
  <dimension ref="A1:O47"/>
  <sheetViews>
    <sheetView showGridLines="0" topLeftCell="B1" zoomScaleNormal="100" workbookViewId="0">
      <pane ySplit="1" topLeftCell="A2" activePane="bottomLeft" state="frozen"/>
      <selection pane="bottomLeft" activeCell="M5" sqref="M5:N16"/>
    </sheetView>
  </sheetViews>
  <sheetFormatPr baseColWidth="10" defaultColWidth="8.6640625" defaultRowHeight="15" x14ac:dyDescent="0.2"/>
  <cols>
    <col min="1" max="1" width="22" customWidth="1"/>
    <col min="2" max="2" width="18" customWidth="1"/>
    <col min="3" max="3" width="24" customWidth="1"/>
    <col min="4" max="4" width="18" customWidth="1"/>
    <col min="5" max="5" width="12.5" customWidth="1"/>
    <col min="6" max="6" width="15.33203125" customWidth="1"/>
    <col min="7" max="7" width="8.83203125" customWidth="1"/>
    <col min="8" max="8" width="10.5" customWidth="1"/>
    <col min="9" max="9" width="11.33203125" customWidth="1"/>
    <col min="10" max="10" width="25.83203125" customWidth="1"/>
    <col min="12" max="12" width="15.6640625" customWidth="1"/>
    <col min="13" max="13" width="22.83203125" customWidth="1"/>
    <col min="14" max="14" width="21.33203125" customWidth="1"/>
    <col min="15" max="15" width="34.83203125" customWidth="1"/>
  </cols>
  <sheetData>
    <row r="1" spans="1:15" ht="27.75" customHeight="1" x14ac:dyDescent="0.2">
      <c r="A1" s="64" t="s">
        <v>280</v>
      </c>
      <c r="B1" s="59" t="s">
        <v>36</v>
      </c>
      <c r="C1" s="59" t="s">
        <v>281</v>
      </c>
      <c r="D1" s="59" t="s">
        <v>38</v>
      </c>
      <c r="E1" s="59" t="s">
        <v>282</v>
      </c>
      <c r="F1" s="59" t="s">
        <v>283</v>
      </c>
      <c r="G1" s="59" t="s">
        <v>41</v>
      </c>
      <c r="H1" s="59" t="s">
        <v>284</v>
      </c>
      <c r="I1" s="59" t="s">
        <v>43</v>
      </c>
      <c r="J1" s="65" t="s">
        <v>285</v>
      </c>
      <c r="K1" s="59" t="s">
        <v>412</v>
      </c>
      <c r="M1" s="76"/>
      <c r="N1" s="76"/>
      <c r="O1" s="76"/>
    </row>
    <row r="2" spans="1:15" ht="18" customHeight="1" x14ac:dyDescent="0.2">
      <c r="A2" s="61" t="str">
        <f>IF(LEFT(TRIM(Raw_Data!A2),5)="CUST-",UPPER(TRIM(Raw_Data!A2)),"CUST-"&amp;UPPER(TRIM(Raw_Data!A2)))</f>
        <v>CUST-1001</v>
      </c>
      <c r="B2" s="10" t="str">
        <f>Raw_Data!B2</f>
        <v>ACC-884521</v>
      </c>
      <c r="C2" s="10" t="str">
        <f>PROPER(TRIM(CLEAN(Raw_Data!C2)))</f>
        <v>Priya Sharma</v>
      </c>
      <c r="D2" s="10" t="str">
        <f>Raw_Data!D2</f>
        <v>2026-08-01</v>
      </c>
      <c r="E2" s="10" t="str">
        <f>PROPER(TRIM(Raw_Data!E2))</f>
        <v>Credit</v>
      </c>
      <c r="F2" s="68">
        <f>IFERROR(VALUE(SUBSTITUTE(SUBSTITUTE(TRIM(Raw_Data!F2),"$",""),",","")),"CHECK")</f>
        <v>15000</v>
      </c>
      <c r="G2" s="10" t="str">
        <f>Raw_Data!G2</f>
        <v>INR</v>
      </c>
      <c r="H2" s="10" t="str">
        <f>IF(TRIM(Raw_Data!H2)="","UNKNOWN",TRIM(Raw_Data!H2))</f>
        <v>BRN-01</v>
      </c>
      <c r="I2" s="10" t="str">
        <f>Raw_Data!I2</f>
        <v>TXN-0001</v>
      </c>
      <c r="J2" s="62" t="str">
        <f>PROPER(TRIM(CLEAN(Raw_Data!J2)))</f>
        <v>Salary Credit For August</v>
      </c>
      <c r="K2" s="72"/>
      <c r="L2" s="20" t="str">
        <f>IF(COUNTIF($J$2:J2,J2)&gt;1,"DUPLICATE","OK")</f>
        <v>OK</v>
      </c>
      <c r="M2" s="78"/>
      <c r="N2" s="77"/>
      <c r="O2" s="77"/>
    </row>
    <row r="3" spans="1:15" ht="18" customHeight="1" x14ac:dyDescent="0.2">
      <c r="A3" s="61" t="str">
        <f>IF(LEFT(TRIM(Raw_Data!A3),5)="CUST-",UPPER(TRIM(Raw_Data!A3)),"CUST-"&amp;UPPER(TRIM(Raw_Data!A3)))</f>
        <v>CUST-1002</v>
      </c>
      <c r="B3" s="10" t="str">
        <f>Raw_Data!B3</f>
        <v>ACC-774832</v>
      </c>
      <c r="C3" s="10" t="str">
        <f>PROPER(TRIM(CLEAN(Raw_Data!C3)))</f>
        <v>Rahul Mehta</v>
      </c>
      <c r="D3" s="10" t="str">
        <f>Raw_Data!D3</f>
        <v>2026-08-02</v>
      </c>
      <c r="E3" s="10" t="str">
        <f>PROPER(TRIM(Raw_Data!E3))</f>
        <v>Debit</v>
      </c>
      <c r="F3" s="68">
        <f>IFERROR(VALUE(SUBSTITUTE(SUBSTITUTE(TRIM(Raw_Data!F3),"$",""),",","")),"CHECK")</f>
        <v>8500</v>
      </c>
      <c r="G3" s="10" t="str">
        <f>Raw_Data!G3</f>
        <v>INR</v>
      </c>
      <c r="H3" s="10" t="str">
        <f>IF(TRIM(Raw_Data!H3)="","UNKNOWN",TRIM(Raw_Data!H3))</f>
        <v>BRN-02</v>
      </c>
      <c r="I3" s="10" t="str">
        <f>Raw_Data!I3</f>
        <v>TXN-0002</v>
      </c>
      <c r="J3" s="63" t="str">
        <f>PROPER(TRIM(CLEAN(Raw_Data!J3)))</f>
        <v>Online Transfer To Vendor</v>
      </c>
      <c r="K3" s="10"/>
      <c r="L3" s="20" t="str">
        <f>IF(COUNTIF($J$2:J3,J3)&gt;1,"DUPLICATE","OK")</f>
        <v>OK</v>
      </c>
    </row>
    <row r="4" spans="1:15" ht="18" customHeight="1" x14ac:dyDescent="0.2">
      <c r="A4" s="61" t="str">
        <f>IF(LEFT(TRIM(Raw_Data!A4),5)="CUST-",UPPER(TRIM(Raw_Data!A4)),"CUST-"&amp;UPPER(TRIM(Raw_Data!A4)))</f>
        <v>CUST-1003</v>
      </c>
      <c r="B4" s="10" t="str">
        <f>Raw_Data!B4</f>
        <v>ACC-663741</v>
      </c>
      <c r="C4" s="10" t="str">
        <f>PROPER(TRIM(CLEAN(Raw_Data!C4)))</f>
        <v>Ananya Iyer</v>
      </c>
      <c r="D4" s="10" t="str">
        <f>Raw_Data!D4</f>
        <v>01/08/2026</v>
      </c>
      <c r="E4" s="10" t="str">
        <f>PROPER(TRIM(Raw_Data!E4))</f>
        <v>Credit</v>
      </c>
      <c r="F4" s="68">
        <f>IFERROR(VALUE(SUBSTITUTE(SUBSTITUTE(TRIM(Raw_Data!F4),"$",""),",","")),"CHECK")</f>
        <v>22000</v>
      </c>
      <c r="G4" s="10" t="str">
        <f>Raw_Data!G4</f>
        <v>INR</v>
      </c>
      <c r="H4" s="10" t="str">
        <f>IF(TRIM(Raw_Data!H4)="","UNKNOWN",TRIM(Raw_Data!H4))</f>
        <v>UNKNOWN</v>
      </c>
      <c r="I4" s="10" t="str">
        <f>Raw_Data!I4</f>
        <v>TXN-0003</v>
      </c>
      <c r="J4" s="62" t="str">
        <f>PROPER(TRIM(CLEAN(Raw_Data!J4)))</f>
        <v>Loan Disbursement [Sys]</v>
      </c>
      <c r="K4" s="10"/>
      <c r="L4" s="20" t="str">
        <f>IF(COUNTIF($J$2:J4,J4)&gt;1,"DUPLICATE","OK")</f>
        <v>OK</v>
      </c>
    </row>
    <row r="5" spans="1:15" ht="18" customHeight="1" x14ac:dyDescent="0.2">
      <c r="A5" s="61" t="str">
        <f>IF(LEFT(TRIM(Raw_Data!A5),5)="CUST-",UPPER(TRIM(Raw_Data!A5)),"CUST-"&amp;UPPER(TRIM(Raw_Data!A5)))</f>
        <v>CUST-1004</v>
      </c>
      <c r="B5" s="10" t="str">
        <f>Raw_Data!B5</f>
        <v>ACC-552630</v>
      </c>
      <c r="C5" s="10" t="str">
        <f>PROPER(TRIM(CLEAN(Raw_Data!C5)))</f>
        <v>Vikram Singh</v>
      </c>
      <c r="D5" s="10" t="str">
        <f>Raw_Data!D5</f>
        <v>2026-08-04</v>
      </c>
      <c r="E5" s="10" t="str">
        <f>PROPER(TRIM(Raw_Data!E5))</f>
        <v>Debit</v>
      </c>
      <c r="F5" s="68">
        <f>IFERROR(VALUE(SUBSTITUTE(SUBSTITUTE(TRIM(Raw_Data!F5),"$",""),",","")),"CHECK")</f>
        <v>3750</v>
      </c>
      <c r="G5" s="10" t="str">
        <f>Raw_Data!G5</f>
        <v>INR</v>
      </c>
      <c r="H5" s="10" t="str">
        <f>IF(TRIM(Raw_Data!H5)="","UNKNOWN",TRIM(Raw_Data!H5))</f>
        <v>BRN-01</v>
      </c>
      <c r="I5" s="10" t="str">
        <f>Raw_Data!I5</f>
        <v>TXN-0004</v>
      </c>
      <c r="J5" s="62" t="str">
        <f>PROPER(TRIM(CLEAN(Raw_Data!J5)))</f>
        <v>Atm Withdrawal</v>
      </c>
      <c r="K5" s="10"/>
      <c r="L5" s="20" t="str">
        <f>IF(COUNTIF($J$2:J5,J5)&gt;1,"DUPLICATE","OK")</f>
        <v>OK</v>
      </c>
      <c r="M5" s="80"/>
    </row>
    <row r="6" spans="1:15" ht="18" customHeight="1" x14ac:dyDescent="0.2">
      <c r="A6" s="61" t="str">
        <f>IF(LEFT(TRIM(Raw_Data!A6),5)="CUST-",UPPER(TRIM(Raw_Data!A6)),"CUST-"&amp;UPPER(TRIM(Raw_Data!A6)))</f>
        <v>CUST-1005</v>
      </c>
      <c r="B6" s="10" t="str">
        <f>Raw_Data!B6</f>
        <v>ACC-441519</v>
      </c>
      <c r="C6" s="10" t="str">
        <f>PROPER(TRIM(CLEAN(Raw_Data!C6)))</f>
        <v>Sneha Nair</v>
      </c>
      <c r="D6" s="10" t="str">
        <f>Raw_Data!D6</f>
        <v>2026-08-05</v>
      </c>
      <c r="E6" s="10" t="str">
        <f>PROPER(TRIM(Raw_Data!E6))</f>
        <v>Credit</v>
      </c>
      <c r="F6" s="68">
        <f>IFERROR(VALUE(SUBSTITUTE(SUBSTITUTE(TRIM(Raw_Data!F6),"$",""),",","")),"CHECK")</f>
        <v>9800</v>
      </c>
      <c r="G6" s="10" t="str">
        <f>Raw_Data!G6</f>
        <v>INR</v>
      </c>
      <c r="H6" s="10" t="str">
        <f>IF(TRIM(Raw_Data!H6)="","UNKNOWN",TRIM(Raw_Data!H6))</f>
        <v>BRN-03</v>
      </c>
      <c r="I6" s="10" t="str">
        <f>Raw_Data!I6</f>
        <v>TXN-0003</v>
      </c>
      <c r="J6" s="62" t="str">
        <f>PROPER(TRIM(CLEAN(Raw_Data!J6)))</f>
        <v>Freelance Payment Received</v>
      </c>
      <c r="K6" s="10"/>
      <c r="L6" s="20" t="str">
        <f>IF(COUNTIF($J$2:J6,J6)&gt;1,"DUPLICATE","OK")</f>
        <v>OK</v>
      </c>
    </row>
    <row r="7" spans="1:15" ht="18" customHeight="1" x14ac:dyDescent="0.2">
      <c r="A7" s="61" t="str">
        <f>IF(LEFT(TRIM(Raw_Data!A7),5)="CUST-",UPPER(TRIM(Raw_Data!A7)),"CUST-"&amp;UPPER(TRIM(Raw_Data!A7)))</f>
        <v>CUST-CUST -1006</v>
      </c>
      <c r="B7" s="10" t="str">
        <f>Raw_Data!B7</f>
        <v>ACC-330408</v>
      </c>
      <c r="C7" s="10" t="str">
        <f>PROPER(TRIM(CLEAN(Raw_Data!C7)))</f>
        <v>Amit Patel</v>
      </c>
      <c r="D7" s="10" t="str">
        <f>Raw_Data!D7</f>
        <v>2026-08-06</v>
      </c>
      <c r="E7" s="10" t="str">
        <f>PROPER(TRIM(Raw_Data!E7))</f>
        <v>Debit</v>
      </c>
      <c r="F7" s="68">
        <f>IFERROR(VALUE(SUBSTITUTE(SUBSTITUTE(TRIM(Raw_Data!F7),"$",""),",","")),"CHECK")</f>
        <v>1200.5</v>
      </c>
      <c r="G7" s="10" t="str">
        <f>Raw_Data!G7</f>
        <v>INR</v>
      </c>
      <c r="H7" s="10" t="str">
        <f>IF(TRIM(Raw_Data!H7)="","UNKNOWN",TRIM(Raw_Data!H7))</f>
        <v>BRN-02</v>
      </c>
      <c r="I7" s="10" t="str">
        <f>Raw_Data!I7</f>
        <v>TXN-0006</v>
      </c>
      <c r="J7" s="62" t="str">
        <f>PROPER(TRIM(CLEAN(Raw_Data!J7)))</f>
        <v>Utility Bill Payment</v>
      </c>
      <c r="K7" s="10"/>
      <c r="L7" s="20" t="str">
        <f>IF(COUNTIF($J$2:J7,J7)&gt;1,"DUPLICATE","OK")</f>
        <v>OK</v>
      </c>
    </row>
    <row r="8" spans="1:15" ht="18" customHeight="1" x14ac:dyDescent="0.2">
      <c r="A8" s="61" t="str">
        <f>IF(LEFT(TRIM(Raw_Data!A8),5)="CUST-",UPPER(TRIM(Raw_Data!A8)),"CUST-"&amp;UPPER(TRIM(Raw_Data!A8)))</f>
        <v>CUST-1007</v>
      </c>
      <c r="B8" s="10" t="str">
        <f>Raw_Data!B8</f>
        <v>ACC-229397</v>
      </c>
      <c r="C8" s="10" t="str">
        <f>PROPER(TRIM(CLEAN(Raw_Data!C8)))</f>
        <v>Ritu Gupta</v>
      </c>
      <c r="D8" s="10" t="str">
        <f>Raw_Data!D8</f>
        <v>2026-08-07</v>
      </c>
      <c r="E8" s="10" t="str">
        <f>PROPER(TRIM(Raw_Data!E8))</f>
        <v>Debit</v>
      </c>
      <c r="F8" s="68">
        <f>IFERROR(VALUE(SUBSTITUTE(SUBSTITUTE(TRIM(Raw_Data!F8),"$",""),",","")),"CHECK")</f>
        <v>500</v>
      </c>
      <c r="G8" s="10" t="str">
        <f>Raw_Data!G8</f>
        <v>INR</v>
      </c>
      <c r="H8" s="10" t="str">
        <f>IF(TRIM(Raw_Data!H8)="","UNKNOWN",TRIM(Raw_Data!H8))</f>
        <v>BRN-04</v>
      </c>
      <c r="I8" s="10" t="str">
        <f>Raw_Data!I8</f>
        <v>TXN-0007</v>
      </c>
      <c r="J8" s="62" t="str">
        <f>PROPER(TRIM(CLEAN(Raw_Data!J8)))</f>
        <v>Coffee Shop Payment</v>
      </c>
      <c r="K8" s="10"/>
      <c r="L8" s="20" t="str">
        <f>IF(COUNTIF($J$2:J8,J8)&gt;1,"DUPLICATE","OK")</f>
        <v>OK</v>
      </c>
    </row>
    <row r="9" spans="1:15" ht="18" customHeight="1" x14ac:dyDescent="0.2">
      <c r="A9" s="61" t="str">
        <f>IF(LEFT(TRIM(Raw_Data!A9),5)="CUST-",UPPER(TRIM(Raw_Data!A9)),"CUST-"&amp;UPPER(TRIM(Raw_Data!A9)))</f>
        <v>CUST-1008</v>
      </c>
      <c r="B9" s="10" t="str">
        <f>Raw_Data!B9</f>
        <v>ACC-118286</v>
      </c>
      <c r="C9" s="10" t="str">
        <f>PROPER(TRIM(CLEAN(Raw_Data!C9)))</f>
        <v>Deepak Verma</v>
      </c>
      <c r="D9" s="10" t="str">
        <f>Raw_Data!D9</f>
        <v>08-Aug-2026</v>
      </c>
      <c r="E9" s="10" t="str">
        <f>PROPER(TRIM(Raw_Data!E9))</f>
        <v>Credit</v>
      </c>
      <c r="F9" s="68">
        <f>IFERROR(VALUE(SUBSTITUTE(SUBSTITUTE(TRIM(Raw_Data!F9),"$",""),",","")),"CHECK")</f>
        <v>45000</v>
      </c>
      <c r="G9" s="10" t="str">
        <f>Raw_Data!G9</f>
        <v>INR</v>
      </c>
      <c r="H9" s="10" t="str">
        <f>IF(TRIM(Raw_Data!H9)="","UNKNOWN",TRIM(Raw_Data!H9))</f>
        <v>UNKNOWN</v>
      </c>
      <c r="I9" s="10" t="str">
        <f>Raw_Data!I9</f>
        <v>TXN-0008</v>
      </c>
      <c r="J9" s="62" t="str">
        <f>PROPER(TRIM(CLEAN(Raw_Data!J9)))</f>
        <v>Property Rent Collected Extra</v>
      </c>
      <c r="K9" s="10"/>
      <c r="L9" s="20" t="str">
        <f>IF(COUNTIF($J$2:J9,J9)&gt;1,"DUPLICATE","OK")</f>
        <v>OK</v>
      </c>
    </row>
    <row r="10" spans="1:15" ht="18" customHeight="1" x14ac:dyDescent="0.25">
      <c r="A10" s="61" t="str">
        <f>IF(LEFT(TRIM(Raw_Data!A10),5)="CUST-",UPPER(TRIM(Raw_Data!A10)),"CUST-"&amp;UPPER(TRIM(Raw_Data!A10)))</f>
        <v>CUST-1009</v>
      </c>
      <c r="B10" s="10" t="str">
        <f>Raw_Data!B10</f>
        <v>ACC-007175</v>
      </c>
      <c r="C10" s="10" t="str">
        <f>PROPER(TRIM(CLEAN(Raw_Data!C10)))</f>
        <v>Meena Krishnan</v>
      </c>
      <c r="D10" s="10" t="str">
        <f>Raw_Data!D10</f>
        <v>2026-08-09</v>
      </c>
      <c r="E10" s="10" t="str">
        <f>PROPER(TRIM(Raw_Data!E10))</f>
        <v>Debit</v>
      </c>
      <c r="F10" s="68">
        <f>IFERROR(VALUE(SUBSTITUTE(SUBSTITUTE(TRIM(Raw_Data!F10),"$",""),",","")),"CHECK")</f>
        <v>2300</v>
      </c>
      <c r="G10" s="10" t="str">
        <f>Raw_Data!G10</f>
        <v>INR</v>
      </c>
      <c r="H10" s="10" t="str">
        <f>IF(TRIM(Raw_Data!H10)="","UNKNOWN",TRIM(Raw_Data!H10))</f>
        <v>BRN-03</v>
      </c>
      <c r="I10" s="10" t="str">
        <f>Raw_Data!I10</f>
        <v>TXN-0009</v>
      </c>
      <c r="J10" s="62" t="str">
        <f>PROPER(TRIM(CLEAN(Raw_Data!J10)))</f>
        <v>Insurance Premium Paid</v>
      </c>
      <c r="K10" s="10"/>
      <c r="L10" s="20" t="str">
        <f>IF(COUNTIF($J$2:J10,J10)&gt;1,"DUPLICATE","OK")</f>
        <v>OK</v>
      </c>
      <c r="M10" s="79"/>
    </row>
    <row r="11" spans="1:15" ht="18" customHeight="1" x14ac:dyDescent="0.2">
      <c r="A11" s="61" t="str">
        <f>IF(LEFT(TRIM(Raw_Data!A11),5)="CUST-",UPPER(TRIM(Raw_Data!A11)),"CUST-"&amp;UPPER(TRIM(Raw_Data!A11)))</f>
        <v>CUST-1010</v>
      </c>
      <c r="B11" s="10" t="str">
        <f>Raw_Data!B11</f>
        <v>ACC-996064</v>
      </c>
      <c r="C11" s="10" t="str">
        <f>PROPER(TRIM(CLEAN(Raw_Data!C11)))</f>
        <v>Arjun Bose</v>
      </c>
      <c r="D11" s="10" t="str">
        <f>Raw_Data!D11</f>
        <v>2026-08-10</v>
      </c>
      <c r="E11" s="10" t="str">
        <f>PROPER(TRIM(Raw_Data!E11))</f>
        <v>Credit</v>
      </c>
      <c r="F11" s="68">
        <f>IFERROR(VALUE(SUBSTITUTE(SUBSTITUTE(TRIM(Raw_Data!F11),"$",""),",","")),"CHECK")</f>
        <v>11000</v>
      </c>
      <c r="G11" s="10" t="str">
        <f>Raw_Data!G11</f>
        <v>INR</v>
      </c>
      <c r="H11" s="10" t="str">
        <f>IF(TRIM(Raw_Data!H11)="","UNKNOWN",TRIM(Raw_Data!H11))</f>
        <v>BRN-01</v>
      </c>
      <c r="I11" s="10" t="str">
        <f>Raw_Data!I11</f>
        <v>TXN-0010</v>
      </c>
      <c r="J11" s="62" t="str">
        <f>PROPER(TRIM(CLEAN(Raw_Data!J11)))</f>
        <v>Dividend Received</v>
      </c>
      <c r="K11" s="10"/>
      <c r="L11" s="20" t="str">
        <f>IF(COUNTIF($J$2:J11,J11)&gt;1,"DUPLICATE","OK")</f>
        <v>OK</v>
      </c>
    </row>
    <row r="12" spans="1:15" ht="18" customHeight="1" x14ac:dyDescent="0.25">
      <c r="A12" s="61" t="str">
        <f>IF(LEFT(TRIM(Raw_Data!A12),5)="CUST-",UPPER(TRIM(Raw_Data!A12)),"CUST-"&amp;UPPER(TRIM(Raw_Data!A12)))</f>
        <v>CUST-1011</v>
      </c>
      <c r="B12" s="10" t="str">
        <f>Raw_Data!B12</f>
        <v>ACC-885953</v>
      </c>
      <c r="C12" s="10" t="str">
        <f>PROPER(TRIM(CLEAN(Raw_Data!C12)))</f>
        <v>Kavya Reddy</v>
      </c>
      <c r="D12" s="10" t="str">
        <f>Raw_Data!D12</f>
        <v>2026-08-11</v>
      </c>
      <c r="E12" s="10" t="str">
        <f>PROPER(TRIM(Raw_Data!E12))</f>
        <v>Debit</v>
      </c>
      <c r="F12" s="68">
        <f>IFERROR(VALUE(SUBSTITUTE(SUBSTITUTE(TRIM(Raw_Data!F12),"$",""),",","")),"CHECK")</f>
        <v>750</v>
      </c>
      <c r="G12" s="10" t="str">
        <f>Raw_Data!G12</f>
        <v>INR</v>
      </c>
      <c r="H12" s="10" t="str">
        <f>IF(TRIM(Raw_Data!H12)="","UNKNOWN",TRIM(Raw_Data!H12))</f>
        <v>BRN-05</v>
      </c>
      <c r="I12" s="10" t="str">
        <f>Raw_Data!I12</f>
        <v>TXN-0011</v>
      </c>
      <c r="J12" s="62" t="str">
        <f>PROPER(TRIM(CLEAN(Raw_Data!J12)))</f>
        <v>Supermarket Purchase</v>
      </c>
      <c r="K12" s="10"/>
      <c r="L12" s="20" t="str">
        <f>IF(COUNTIF($J$2:J12,J12)&gt;1,"DUPLICATE","OK")</f>
        <v>OK</v>
      </c>
      <c r="M12" s="79"/>
    </row>
    <row r="13" spans="1:15" ht="18" customHeight="1" x14ac:dyDescent="0.2">
      <c r="A13" s="61" t="str">
        <f>IF(LEFT(TRIM(Raw_Data!A13),5)="CUST-",UPPER(TRIM(Raw_Data!A13)),"CUST-"&amp;UPPER(TRIM(Raw_Data!A13)))</f>
        <v>CUST-1012</v>
      </c>
      <c r="B13" s="10" t="str">
        <f>Raw_Data!B13</f>
        <v>ACC-774842</v>
      </c>
      <c r="C13" s="10" t="str">
        <f>PROPER(TRIM(CLEAN(Raw_Data!C13)))</f>
        <v>Suresh Pillai</v>
      </c>
      <c r="D13" s="10" t="str">
        <f>Raw_Data!D13</f>
        <v>2026-08-12</v>
      </c>
      <c r="E13" s="10" t="str">
        <f>PROPER(TRIM(Raw_Data!E13))</f>
        <v>Credit</v>
      </c>
      <c r="F13" s="68" t="s">
        <v>411</v>
      </c>
      <c r="G13" s="10" t="str">
        <f>Raw_Data!G13</f>
        <v>INR</v>
      </c>
      <c r="H13" s="10" t="str">
        <f>IF(TRIM(Raw_Data!H13)="","UNKNOWN",TRIM(Raw_Data!H13))</f>
        <v>BRN-02</v>
      </c>
      <c r="I13" s="10" t="str">
        <f>Raw_Data!I13</f>
        <v>TXN-0012</v>
      </c>
      <c r="J13" s="62" t="str">
        <f>PROPER(TRIM(CLEAN(Raw_Data!J13)))</f>
        <v>Pending Credit</v>
      </c>
      <c r="K13" s="10"/>
      <c r="L13" s="20" t="str">
        <f>IF(COUNTIF($J$2:J13,J13)&gt;1,"DUPLICATE","OK")</f>
        <v>OK</v>
      </c>
    </row>
    <row r="14" spans="1:15" ht="18" customHeight="1" x14ac:dyDescent="0.2">
      <c r="A14" s="61" t="str">
        <f>IF(LEFT(TRIM(Raw_Data!A14),5)="CUST-",UPPER(TRIM(Raw_Data!A14)),"CUST-"&amp;UPPER(TRIM(Raw_Data!A14)))</f>
        <v>CUST-1003</v>
      </c>
      <c r="B14" s="10" t="str">
        <f>Raw_Data!B14</f>
        <v>ACC-663741</v>
      </c>
      <c r="C14" s="10" t="str">
        <f>PROPER(TRIM(CLEAN(Raw_Data!C14)))</f>
        <v>Ananya Iyer</v>
      </c>
      <c r="D14" s="10" t="str">
        <f>Raw_Data!D14</f>
        <v>01/08/2026</v>
      </c>
      <c r="E14" s="10" t="str">
        <f>PROPER(TRIM(Raw_Data!E14))</f>
        <v>Credit</v>
      </c>
      <c r="F14" s="68">
        <f>IFERROR(VALUE(SUBSTITUTE(SUBSTITUTE(TRIM(Raw_Data!F14),"$",""),",","")),"CHECK")</f>
        <v>22000</v>
      </c>
      <c r="G14" s="10" t="str">
        <f>Raw_Data!G14</f>
        <v>INR</v>
      </c>
      <c r="H14" s="10" t="str">
        <f>IF(TRIM(Raw_Data!H14)="","UNKNOWN",TRIM(Raw_Data!H14))</f>
        <v>UNKNOWN</v>
      </c>
      <c r="I14" s="10" t="str">
        <f>Raw_Data!I14</f>
        <v>TXN-0003</v>
      </c>
      <c r="J14" s="62" t="str">
        <f>PROPER(TRIM(CLEAN(Raw_Data!J14)))</f>
        <v>Loan Disbursement</v>
      </c>
      <c r="K14" s="10"/>
      <c r="L14" s="20" t="str">
        <f>IF(COUNTIF($J$2:J14,J14)&gt;1,"DUPLICATE","OK")</f>
        <v>OK</v>
      </c>
    </row>
    <row r="15" spans="1:15" ht="18" customHeight="1" x14ac:dyDescent="0.2">
      <c r="A15" s="61" t="str">
        <f>IF(LEFT(TRIM(Raw_Data!A15),5)="CUST-",UPPER(TRIM(Raw_Data!A15)),"CUST-"&amp;UPPER(TRIM(Raw_Data!A15)))</f>
        <v>CUST-1013</v>
      </c>
      <c r="B15" s="10" t="str">
        <f>Raw_Data!B15</f>
        <v>ACC-553731</v>
      </c>
      <c r="C15" s="10" t="str">
        <f>PROPER(TRIM(CLEAN(Raw_Data!C15)))</f>
        <v>Pooja Desai</v>
      </c>
      <c r="D15" s="10" t="str">
        <f>Raw_Data!D15</f>
        <v>2026-08-14</v>
      </c>
      <c r="E15" s="10" t="str">
        <f>PROPER(TRIM(Raw_Data!E15))</f>
        <v>Debit</v>
      </c>
      <c r="F15" s="68">
        <f>IFERROR(VALUE(SUBSTITUTE(SUBSTITUTE(TRIM(Raw_Data!F15),"$",""),",","")),"CHECK")</f>
        <v>4200</v>
      </c>
      <c r="G15" s="10" t="str">
        <f>Raw_Data!G15</f>
        <v>INR</v>
      </c>
      <c r="H15" s="10" t="str">
        <f>IF(TRIM(Raw_Data!H15)="","UNKNOWN",TRIM(Raw_Data!H15))</f>
        <v>BRN-04</v>
      </c>
      <c r="I15" s="10" t="str">
        <f>Raw_Data!I15</f>
        <v>TXN-0013</v>
      </c>
      <c r="J15" s="62" t="str">
        <f>PROPER(TRIM(CLEAN(Raw_Data!J15)))</f>
        <v>Emi Payment</v>
      </c>
      <c r="K15" s="10"/>
      <c r="L15" s="20" t="str">
        <f>IF(COUNTIF($J$2:J15,J15)&gt;1,"DUPLICATE","OK")</f>
        <v>OK</v>
      </c>
    </row>
    <row r="16" spans="1:15" ht="18" customHeight="1" x14ac:dyDescent="0.2">
      <c r="A16" s="61" t="str">
        <f>IF(LEFT(TRIM(Raw_Data!A16),5)="CUST-",UPPER(TRIM(Raw_Data!A16)),"CUST-"&amp;UPPER(TRIM(Raw_Data!A16)))</f>
        <v>CUST-1014</v>
      </c>
      <c r="B16" s="10" t="str">
        <f>Raw_Data!B16</f>
        <v>ACC-442620</v>
      </c>
      <c r="C16" s="10" t="str">
        <f>PROPER(TRIM(CLEAN(Raw_Data!C16)))</f>
        <v>Nikhil Joshi</v>
      </c>
      <c r="D16" s="10" t="str">
        <f>Raw_Data!D16</f>
        <v>2026-08-15</v>
      </c>
      <c r="E16" s="10" t="str">
        <f>PROPER(TRIM(Raw_Data!E16))</f>
        <v>Credit</v>
      </c>
      <c r="F16" s="68">
        <f>IFERROR(VALUE(SUBSTITUTE(SUBSTITUTE(TRIM(Raw_Data!F16),"$",""),",","")),"CHECK")</f>
        <v>18900</v>
      </c>
      <c r="G16" s="10" t="str">
        <f>Raw_Data!G16</f>
        <v>INR</v>
      </c>
      <c r="H16" s="10" t="str">
        <f>IF(TRIM(Raw_Data!H16)="","UNKNOWN",TRIM(Raw_Data!H16))</f>
        <v>BRN-01</v>
      </c>
      <c r="I16" s="10" t="str">
        <f>Raw_Data!I16</f>
        <v>TXN-0014</v>
      </c>
      <c r="J16" s="62" t="str">
        <f>PROPER(TRIM(CLEAN(Raw_Data!J16)))</f>
        <v>Consulting Fees</v>
      </c>
      <c r="K16" s="10"/>
      <c r="L16" s="20" t="str">
        <f>IF(COUNTIF($J$2:J16,J16)&gt;1,"DUPLICATE","OK")</f>
        <v>OK</v>
      </c>
    </row>
    <row r="17" spans="1:12" ht="18" customHeight="1" x14ac:dyDescent="0.2">
      <c r="A17" s="61" t="str">
        <f>IF(LEFT(TRIM(Raw_Data!A17),5)="CUST-",UPPER(TRIM(Raw_Data!A17)),"CUST-"&amp;UPPER(TRIM(Raw_Data!A17)))</f>
        <v>CUST-1015</v>
      </c>
      <c r="B17" s="10" t="str">
        <f>Raw_Data!B17</f>
        <v>ACC-331509</v>
      </c>
      <c r="C17" s="10" t="str">
        <f>PROPER(TRIM(CLEAN(Raw_Data!C17)))</f>
        <v>Preethi Menon</v>
      </c>
      <c r="D17" s="10" t="str">
        <f>Raw_Data!D17</f>
        <v>2026-08-16</v>
      </c>
      <c r="E17" s="10" t="str">
        <f>PROPER(TRIM(Raw_Data!E17))</f>
        <v>Debit</v>
      </c>
      <c r="F17" s="68">
        <f>IFERROR(VALUE(SUBSTITUTE(SUBSTITUTE(TRIM(Raw_Data!F17),"$",""),",","")),"CHECK")</f>
        <v>250</v>
      </c>
      <c r="G17" s="10" t="str">
        <f>Raw_Data!G17</f>
        <v>INR</v>
      </c>
      <c r="H17" s="10" t="str">
        <f>IF(TRIM(Raw_Data!H17)="","UNKNOWN",TRIM(Raw_Data!H17))</f>
        <v>UNKNOWN</v>
      </c>
      <c r="I17" s="10" t="str">
        <f>Raw_Data!I17</f>
        <v>TXN-0015</v>
      </c>
      <c r="J17" s="62" t="str">
        <f>PROPER(TRIM(CLEAN(Raw_Data!J17)))</f>
        <v>Food Delivery</v>
      </c>
      <c r="K17" s="10"/>
      <c r="L17" s="20" t="str">
        <f>IF(COUNTIF($J$2:J17,J17)&gt;1,"DUPLICATE","OK")</f>
        <v>OK</v>
      </c>
    </row>
    <row r="18" spans="1:12" ht="18" customHeight="1" x14ac:dyDescent="0.2">
      <c r="A18" s="61" t="str">
        <f>IF(LEFT(TRIM(Raw_Data!A18),5)="CUST-",UPPER(TRIM(Raw_Data!A18)),"CUST-"&amp;UPPER(TRIM(Raw_Data!A18)))</f>
        <v>CUST-1016</v>
      </c>
      <c r="B18" s="10" t="str">
        <f>Raw_Data!B18</f>
        <v>ACC-220398</v>
      </c>
      <c r="C18" s="10" t="str">
        <f>PROPER(TRIM(CLEAN(Raw_Data!C18)))</f>
        <v>Rohit Kumar</v>
      </c>
      <c r="D18" s="10" t="str">
        <f>Raw_Data!D18</f>
        <v>2026-08-17</v>
      </c>
      <c r="E18" s="10" t="str">
        <f>PROPER(TRIM(Raw_Data!E18))</f>
        <v>Credit</v>
      </c>
      <c r="F18" s="68">
        <f>IFERROR(VALUE(SUBSTITUTE(SUBSTITUTE(TRIM(Raw_Data!F18),"$",""),",","")),"CHECK")</f>
        <v>8000</v>
      </c>
      <c r="G18" s="10" t="str">
        <f>Raw_Data!G18</f>
        <v>INR</v>
      </c>
      <c r="H18" s="10" t="str">
        <f>IF(TRIM(Raw_Data!H18)="","UNKNOWN",TRIM(Raw_Data!H18))</f>
        <v>BRN-03</v>
      </c>
      <c r="I18" s="10" t="str">
        <f>Raw_Data!I18</f>
        <v>TXN-0016</v>
      </c>
      <c r="J18" s="62" t="str">
        <f>PROPER(TRIM(CLEAN(Raw_Data!J18)))</f>
        <v>Part-Time Income</v>
      </c>
      <c r="K18" s="10"/>
      <c r="L18" s="20" t="str">
        <f>IF(COUNTIF($J$2:J18,J18)&gt;1,"DUPLICATE","OK")</f>
        <v>OK</v>
      </c>
    </row>
    <row r="19" spans="1:12" ht="18" customHeight="1" x14ac:dyDescent="0.2">
      <c r="A19" s="61" t="str">
        <f>IF(LEFT(TRIM(Raw_Data!A19),5)="CUST-",UPPER(TRIM(Raw_Data!A19)),"CUST-"&amp;UPPER(TRIM(Raw_Data!A19)))</f>
        <v>CUST-1002</v>
      </c>
      <c r="B19" s="10" t="str">
        <f>Raw_Data!B19</f>
        <v>ACC-774832</v>
      </c>
      <c r="C19" s="10" t="str">
        <f>PROPER(TRIM(CLEAN(Raw_Data!C19)))</f>
        <v>Rahul Mehta</v>
      </c>
      <c r="D19" s="10" t="str">
        <f>Raw_Data!D19</f>
        <v>2026-08-02</v>
      </c>
      <c r="E19" s="10" t="str">
        <f>PROPER(TRIM(Raw_Data!E19))</f>
        <v>Debit</v>
      </c>
      <c r="F19" s="68">
        <f>IFERROR(VALUE(SUBSTITUTE(SUBSTITUTE(TRIM(Raw_Data!F19),"$",""),",","")),"CHECK")</f>
        <v>8500</v>
      </c>
      <c r="G19" s="10" t="str">
        <f>Raw_Data!G19</f>
        <v>INR</v>
      </c>
      <c r="H19" s="10" t="str">
        <f>IF(TRIM(Raw_Data!H19)="","UNKNOWN",TRIM(Raw_Data!H19))</f>
        <v>BRN-02</v>
      </c>
      <c r="I19" s="10" t="str">
        <f>Raw_Data!I19</f>
        <v>TXN-0002</v>
      </c>
      <c r="J19" s="63" t="str">
        <f>PROPER(TRIM(CLEAN(Raw_Data!J19)))</f>
        <v>Online Transfer To Vendor</v>
      </c>
      <c r="K19" s="10"/>
      <c r="L19" s="20" t="str">
        <f>IF(COUNTIF($J$2:J19,J19)&gt;1,"DUPLICATE","OK")</f>
        <v>DUPLICATE</v>
      </c>
    </row>
    <row r="20" spans="1:12" ht="18" customHeight="1" x14ac:dyDescent="0.2">
      <c r="A20" s="61" t="str">
        <f>IF(LEFT(TRIM(Raw_Data!A20),5)="CUST-",UPPER(TRIM(Raw_Data!A20)),"CUST-"&amp;UPPER(TRIM(Raw_Data!A20)))</f>
        <v>CUST-1017</v>
      </c>
      <c r="B20" s="10" t="str">
        <f>Raw_Data!B20</f>
        <v>ACC-119287</v>
      </c>
      <c r="C20" s="10" t="str">
        <f>PROPER(TRIM(CLEAN(Raw_Data!C20)))</f>
        <v>Lakshmi Rao</v>
      </c>
      <c r="D20" s="10" t="str">
        <f>Raw_Data!D20</f>
        <v>2026-08-19</v>
      </c>
      <c r="E20" s="10" t="str">
        <f>PROPER(TRIM(Raw_Data!E20))</f>
        <v>Debit</v>
      </c>
      <c r="F20" s="68">
        <f>IFERROR(VALUE(SUBSTITUTE(SUBSTITUTE(TRIM(Raw_Data!F20),"$",""),",","")),"CHECK")</f>
        <v>1050</v>
      </c>
      <c r="G20" s="10" t="str">
        <f>Raw_Data!G20</f>
        <v>INR</v>
      </c>
      <c r="H20" s="10" t="str">
        <f>IF(TRIM(Raw_Data!H20)="","UNKNOWN",TRIM(Raw_Data!H20))</f>
        <v>BRN-05</v>
      </c>
      <c r="I20" s="10" t="str">
        <f>Raw_Data!I20</f>
        <v>TXN-0017</v>
      </c>
      <c r="J20" s="62" t="str">
        <f>PROPER(TRIM(CLEAN(Raw_Data!J20)))</f>
        <v>Mobile Recharge</v>
      </c>
      <c r="K20" s="10"/>
      <c r="L20" s="20" t="str">
        <f>IF(COUNTIF($J$2:J20,J20)&gt;1,"DUPLICATE","OK")</f>
        <v>OK</v>
      </c>
    </row>
    <row r="21" spans="1:12" ht="18" customHeight="1" x14ac:dyDescent="0.2">
      <c r="A21" s="61" t="str">
        <f>IF(LEFT(TRIM(Raw_Data!A21),5)="CUST-",UPPER(TRIM(Raw_Data!A21)),"CUST-"&amp;UPPER(TRIM(Raw_Data!A21)))</f>
        <v>CUST-1018</v>
      </c>
      <c r="B21" s="10" t="str">
        <f>Raw_Data!B21</f>
        <v>ACC-008176</v>
      </c>
      <c r="C21" s="10" t="str">
        <f>PROPER(TRIM(CLEAN(Raw_Data!C21)))</f>
        <v>Harsh Vardhan</v>
      </c>
      <c r="D21" s="10" t="str">
        <f>Raw_Data!D21</f>
        <v>2026-08-20</v>
      </c>
      <c r="E21" s="10" t="str">
        <f>PROPER(TRIM(Raw_Data!E21))</f>
        <v>Credit</v>
      </c>
      <c r="F21" s="68">
        <f>IFERROR(VALUE(SUBSTITUTE(SUBSTITUTE(TRIM(Raw_Data!F21),"$",""),",","")),"CHECK")</f>
        <v>30000</v>
      </c>
      <c r="G21" s="10" t="str">
        <f>Raw_Data!G21</f>
        <v>INR</v>
      </c>
      <c r="H21" s="10" t="str">
        <f>IF(TRIM(Raw_Data!H21)="","UNKNOWN",TRIM(Raw_Data!H21))</f>
        <v>BRN-02</v>
      </c>
      <c r="I21" s="10" t="str">
        <f>Raw_Data!I21</f>
        <v>TXN-0018</v>
      </c>
      <c r="J21" s="62" t="str">
        <f>PROPER(TRIM(CLEAN(Raw_Data!J21)))</f>
        <v>Quarterly Bonus</v>
      </c>
      <c r="K21" s="10"/>
      <c r="L21" s="20" t="str">
        <f>IF(COUNTIF($J$2:J21,J21)&gt;1,"DUPLICATE","OK")</f>
        <v>OK</v>
      </c>
    </row>
    <row r="22" spans="1:12" ht="18" customHeight="1" x14ac:dyDescent="0.2">
      <c r="A22" s="61" t="str">
        <f>IF(LEFT(TRIM(Raw_Data!A22),5)="CUST-",UPPER(TRIM(Raw_Data!A22)),"CUST-"&amp;UPPER(TRIM(Raw_Data!A22)))</f>
        <v>CUST-1019</v>
      </c>
      <c r="B22" s="10" t="str">
        <f>Raw_Data!B22</f>
        <v>ACC-997065</v>
      </c>
      <c r="C22" s="10" t="str">
        <f>PROPER(TRIM(CLEAN(Raw_Data!C22)))</f>
        <v>Divya Nambiar</v>
      </c>
      <c r="D22" s="10" t="str">
        <f>Raw_Data!D22</f>
        <v>21-Aug-2026</v>
      </c>
      <c r="E22" s="10" t="str">
        <f>PROPER(TRIM(Raw_Data!E22))</f>
        <v>Debit</v>
      </c>
      <c r="F22" s="68">
        <f>IFERROR(VALUE(SUBSTITUTE(SUBSTITUTE(TRIM(Raw_Data!F22),"$",""),",","")),"CHECK")</f>
        <v>600</v>
      </c>
      <c r="G22" s="10" t="str">
        <f>Raw_Data!G22</f>
        <v>INR</v>
      </c>
      <c r="H22" s="10" t="str">
        <f>IF(TRIM(Raw_Data!H22)="","UNKNOWN",TRIM(Raw_Data!H22))</f>
        <v>UNKNOWN</v>
      </c>
      <c r="I22" s="10" t="str">
        <f>Raw_Data!I22</f>
        <v>TXN-0019</v>
      </c>
      <c r="J22" s="62" t="str">
        <f>PROPER(TRIM(CLEAN(Raw_Data!J22)))</f>
        <v>Grocery Shopping</v>
      </c>
      <c r="K22" s="10"/>
      <c r="L22" s="20" t="str">
        <f>IF(COUNTIF($J$2:J22,J22)&gt;1,"DUPLICATE","OK")</f>
        <v>OK</v>
      </c>
    </row>
    <row r="23" spans="1:12" ht="18" customHeight="1" x14ac:dyDescent="0.2">
      <c r="A23" s="61" t="str">
        <f>IF(LEFT(TRIM(Raw_Data!A23),5)="CUST-",UPPER(TRIM(Raw_Data!A23)),"CUST-"&amp;UPPER(TRIM(Raw_Data!A23)))</f>
        <v>CUST-1020</v>
      </c>
      <c r="B23" s="10" t="str">
        <f>Raw_Data!B23</f>
        <v>ACC-886954</v>
      </c>
      <c r="C23" s="10" t="str">
        <f>PROPER(TRIM(CLEAN(Raw_Data!C23)))</f>
        <v>Sanjay Kapoor</v>
      </c>
      <c r="D23" s="10" t="str">
        <f>Raw_Data!D23</f>
        <v>2026-08-22</v>
      </c>
      <c r="E23" s="10" t="str">
        <f>PROPER(TRIM(Raw_Data!E23))</f>
        <v>Credit</v>
      </c>
      <c r="F23" s="68">
        <f>IFERROR(VALUE(SUBSTITUTE(SUBSTITUTE(TRIM(Raw_Data!F23),"$",""),",","")),"CHECK")</f>
        <v>5500</v>
      </c>
      <c r="G23" s="10" t="str">
        <f>Raw_Data!G23</f>
        <v>INR</v>
      </c>
      <c r="H23" s="10" t="str">
        <f>IF(TRIM(Raw_Data!H23)="","UNKNOWN",TRIM(Raw_Data!H23))</f>
        <v>BRN-01</v>
      </c>
      <c r="I23" s="10" t="str">
        <f>Raw_Data!I23</f>
        <v>TXN-0020</v>
      </c>
      <c r="J23" s="62" t="str">
        <f>PROPER(TRIM(CLEAN(Raw_Data!J23)))</f>
        <v>Freelance Invoice</v>
      </c>
      <c r="K23" s="10"/>
      <c r="L23" s="20" t="str">
        <f>IF(COUNTIF($J$2:J23,J23)&gt;1,"DUPLICATE","OK")</f>
        <v>OK</v>
      </c>
    </row>
    <row r="24" spans="1:12" ht="18" customHeight="1" x14ac:dyDescent="0.2">
      <c r="A24" s="61" t="str">
        <f>IF(LEFT(TRIM(Raw_Data!A24),5)="CUST-",UPPER(TRIM(Raw_Data!A24)),"CUST-"&amp;UPPER(TRIM(Raw_Data!A24)))</f>
        <v>CUST-1021</v>
      </c>
      <c r="B24" s="10" t="str">
        <f>Raw_Data!B24</f>
        <v>ACC-775843</v>
      </c>
      <c r="C24" s="10" t="str">
        <f>PROPER(TRIM(CLEAN(Raw_Data!C24)))</f>
        <v>Radha Krishna</v>
      </c>
      <c r="D24" s="10" t="str">
        <f>Raw_Data!D24</f>
        <v>2026-08-23</v>
      </c>
      <c r="E24" s="10" t="str">
        <f>PROPER(TRIM(Raw_Data!E24))</f>
        <v>Credit</v>
      </c>
      <c r="F24" s="68">
        <f>IFERROR(VALUE(SUBSTITUTE(SUBSTITUTE(TRIM(Raw_Data!F24),"$",""),",","")),"CHECK")</f>
        <v>12750</v>
      </c>
      <c r="G24" s="10" t="str">
        <f>Raw_Data!G24</f>
        <v>INR</v>
      </c>
      <c r="H24" s="10" t="str">
        <f>IF(TRIM(Raw_Data!H24)="","UNKNOWN",TRIM(Raw_Data!H24))</f>
        <v>BRN-03</v>
      </c>
      <c r="I24" s="10" t="str">
        <f>Raw_Data!I24</f>
        <v>TXN-0021</v>
      </c>
      <c r="J24" s="62" t="str">
        <f>PROPER(TRIM(CLEAN(Raw_Data!J24)))</f>
        <v>Rental Income</v>
      </c>
      <c r="K24" s="10"/>
      <c r="L24" s="20" t="str">
        <f>IF(COUNTIF($J$2:J24,J24)&gt;1,"DUPLICATE","OK")</f>
        <v>OK</v>
      </c>
    </row>
    <row r="25" spans="1:12" ht="18" customHeight="1" x14ac:dyDescent="0.2">
      <c r="A25" s="61" t="str">
        <f>IF(LEFT(TRIM(Raw_Data!A25),5)="CUST-",UPPER(TRIM(Raw_Data!A25)),"CUST-"&amp;UPPER(TRIM(Raw_Data!A25)))</f>
        <v>CUST-1022</v>
      </c>
      <c r="B25" s="10" t="str">
        <f>Raw_Data!B25</f>
        <v>ACC-664732</v>
      </c>
      <c r="C25" s="10" t="str">
        <f>PROPER(TRIM(CLEAN(Raw_Data!C25)))</f>
        <v>Mohan Lal</v>
      </c>
      <c r="D25" s="10" t="str">
        <f>Raw_Data!D25</f>
        <v>2026-08-24</v>
      </c>
      <c r="E25" s="10" t="str">
        <f>PROPER(TRIM(Raw_Data!E25))</f>
        <v>Debit</v>
      </c>
      <c r="F25" s="68">
        <f>IFERROR(VALUE(SUBSTITUTE(SUBSTITUTE(TRIM(Raw_Data!F25),"$",""),",","")),"CHECK")</f>
        <v>900</v>
      </c>
      <c r="G25" s="10" t="str">
        <f>Raw_Data!G25</f>
        <v>INR</v>
      </c>
      <c r="H25" s="10" t="str">
        <f>IF(TRIM(Raw_Data!H25)="","UNKNOWN",TRIM(Raw_Data!H25))</f>
        <v>BRN-04</v>
      </c>
      <c r="I25" s="10" t="str">
        <f>Raw_Data!I25</f>
        <v>TXN-0022</v>
      </c>
      <c r="J25" s="62" t="str">
        <f>PROPER(TRIM(CLEAN(Raw_Data!J25)))</f>
        <v>Book Purchase</v>
      </c>
      <c r="K25" s="10"/>
      <c r="L25" s="20" t="str">
        <f>IF(COUNTIF($J$2:J25,J25)&gt;1,"DUPLICATE","OK")</f>
        <v>OK</v>
      </c>
    </row>
    <row r="26" spans="1:12" ht="18" customHeight="1" x14ac:dyDescent="0.2">
      <c r="A26" s="61" t="str">
        <f>IF(LEFT(TRIM(Raw_Data!A26),5)="CUST-",UPPER(TRIM(Raw_Data!A26)),"CUST-"&amp;UPPER(TRIM(Raw_Data!A26)))</f>
        <v>CUST-1023</v>
      </c>
      <c r="B26" s="10" t="str">
        <f>Raw_Data!B26</f>
        <v>ACC-553621</v>
      </c>
      <c r="C26" s="10" t="str">
        <f>PROPER(TRIM(CLEAN(Raw_Data!C26)))</f>
        <v>Geeta Pillai</v>
      </c>
      <c r="D26" s="10" t="str">
        <f>Raw_Data!D26</f>
        <v>2026-08-25</v>
      </c>
      <c r="E26" s="10" t="str">
        <f>PROPER(TRIM(Raw_Data!E26))</f>
        <v>Debit</v>
      </c>
      <c r="F26" s="68">
        <f>IFERROR(VALUE(SUBSTITUTE(SUBSTITUTE(TRIM(Raw_Data!F26),"$",""),",","")),"CHECK")</f>
        <v>2100</v>
      </c>
      <c r="G26" s="10" t="str">
        <f>Raw_Data!G26</f>
        <v>INR</v>
      </c>
      <c r="H26" s="10" t="str">
        <f>IF(TRIM(Raw_Data!H26)="","UNKNOWN",TRIM(Raw_Data!H26))</f>
        <v>UNKNOWN</v>
      </c>
      <c r="I26" s="10" t="str">
        <f>Raw_Data!I26</f>
        <v>TXN-0023</v>
      </c>
      <c r="J26" s="62" t="str">
        <f>PROPER(TRIM(CLEAN(Raw_Data!J26)))</f>
        <v>School Fees</v>
      </c>
      <c r="K26" s="10"/>
      <c r="L26" s="20" t="str">
        <f>IF(COUNTIF($J$2:J26,J26)&gt;1,"DUPLICATE","OK")</f>
        <v>OK</v>
      </c>
    </row>
    <row r="27" spans="1:12" ht="18" customHeight="1" x14ac:dyDescent="0.2">
      <c r="A27" s="61" t="str">
        <f>IF(LEFT(TRIM(Raw_Data!A27),5)="CUST-",UPPER(TRIM(Raw_Data!A27)),"CUST-"&amp;UPPER(TRIM(Raw_Data!A27)))</f>
        <v>CUST-CUST -1024</v>
      </c>
      <c r="B27" s="10" t="str">
        <f>Raw_Data!B27</f>
        <v>ACC-442510</v>
      </c>
      <c r="C27" s="10" t="str">
        <f>PROPER(TRIM(CLEAN(Raw_Data!C27)))</f>
        <v>Kiran Bhat</v>
      </c>
      <c r="D27" s="10" t="str">
        <f>Raw_Data!D27</f>
        <v>2026-08-25</v>
      </c>
      <c r="E27" s="10" t="str">
        <f>PROPER(TRIM(Raw_Data!E27))</f>
        <v>Credit</v>
      </c>
      <c r="F27" s="68">
        <f>IFERROR(VALUE(SUBSTITUTE(SUBSTITUTE(TRIM(Raw_Data!F27),"$",""),",","")),"CHECK")</f>
        <v>7200</v>
      </c>
      <c r="G27" s="10" t="str">
        <f>Raw_Data!G27</f>
        <v>INR</v>
      </c>
      <c r="H27" s="10" t="str">
        <f>IF(TRIM(Raw_Data!H27)="","UNKNOWN",TRIM(Raw_Data!H27))</f>
        <v>BRN-02</v>
      </c>
      <c r="I27" s="10" t="str">
        <f>Raw_Data!I27</f>
        <v>TXN-0024</v>
      </c>
      <c r="J27" s="62" t="str">
        <f>PROPER(TRIM(CLEAN(Raw_Data!J27)))</f>
        <v>Dividend Credit</v>
      </c>
      <c r="K27" s="10"/>
      <c r="L27" s="20" t="str">
        <f>IF(COUNTIF($J$2:J27,J27)&gt;1,"DUPLICATE","OK")</f>
        <v>OK</v>
      </c>
    </row>
    <row r="28" spans="1:12" ht="18" customHeight="1" x14ac:dyDescent="0.2">
      <c r="A28" s="61" t="str">
        <f>IF(LEFT(TRIM(Raw_Data!A28),5)="CUST-",UPPER(TRIM(Raw_Data!A28)),"CUST-"&amp;UPPER(TRIM(Raw_Data!A28)))</f>
        <v>CUST-1025</v>
      </c>
      <c r="B28" s="10" t="str">
        <f>Raw_Data!B28</f>
        <v>ACC-331399</v>
      </c>
      <c r="C28" s="10" t="str">
        <f>PROPER(TRIM(CLEAN(Raw_Data!C28)))</f>
        <v>Nisha Thomas</v>
      </c>
      <c r="D28" s="10" t="str">
        <f>Raw_Data!D28</f>
        <v>2026-08-25</v>
      </c>
      <c r="E28" s="10" t="str">
        <f>PROPER(TRIM(Raw_Data!E28))</f>
        <v>Debit</v>
      </c>
      <c r="F28" s="68">
        <f>IFERROR(VALUE(SUBSTITUTE(SUBSTITUTE(TRIM(Raw_Data!F28),"$",""),",","")),"CHECK")</f>
        <v>350</v>
      </c>
      <c r="G28" s="10" t="str">
        <f>Raw_Data!G28</f>
        <v>INR</v>
      </c>
      <c r="H28" s="10" t="str">
        <f>IF(TRIM(Raw_Data!H28)="","UNKNOWN",TRIM(Raw_Data!H28))</f>
        <v>BRN-05</v>
      </c>
      <c r="I28" s="10" t="str">
        <f>Raw_Data!I28</f>
        <v>TXN-0025</v>
      </c>
      <c r="J28" s="62" t="str">
        <f>PROPER(TRIM(CLEAN(Raw_Data!J28)))</f>
        <v>Streaming Subscription</v>
      </c>
      <c r="K28" s="10"/>
      <c r="L28" s="20" t="str">
        <f>IF(COUNTIF($J$2:J28,J28)&gt;1,"DUPLICATE","OK")</f>
        <v>OK</v>
      </c>
    </row>
    <row r="29" spans="1:12" ht="18" customHeight="1" x14ac:dyDescent="0.2">
      <c r="A29" s="61" t="str">
        <f>IF(LEFT(TRIM(Raw_Data!A29),5)="CUST-",UPPER(TRIM(Raw_Data!A29)),"CUST-"&amp;UPPER(TRIM(Raw_Data!A29)))</f>
        <v>CUST-1026</v>
      </c>
      <c r="B29" s="10" t="str">
        <f>Raw_Data!B29</f>
        <v>ACC-220288</v>
      </c>
      <c r="C29" s="10" t="str">
        <f>PROPER(TRIM(CLEAN(Raw_Data!C29)))</f>
        <v>Vishal Agarwal</v>
      </c>
      <c r="D29" s="10" t="str">
        <f>Raw_Data!D29</f>
        <v>2026-08-25</v>
      </c>
      <c r="E29" s="10" t="str">
        <f>PROPER(TRIM(Raw_Data!E29))</f>
        <v>Credit</v>
      </c>
      <c r="F29" s="68">
        <f>IFERROR(VALUE(SUBSTITUTE(SUBSTITUTE(TRIM(Raw_Data!F29),"$",""),",","")),"CHECK")</f>
        <v>25000</v>
      </c>
      <c r="G29" s="10" t="str">
        <f>Raw_Data!G29</f>
        <v>INR</v>
      </c>
      <c r="H29" s="10" t="str">
        <f>IF(TRIM(Raw_Data!H29)="","UNKNOWN",TRIM(Raw_Data!H29))</f>
        <v>BRN-01</v>
      </c>
      <c r="I29" s="10" t="str">
        <f>Raw_Data!I29</f>
        <v>TXN-0026</v>
      </c>
      <c r="J29" s="62" t="str">
        <f>PROPER(TRIM(CLEAN(Raw_Data!J29)))</f>
        <v>Project Bonus</v>
      </c>
      <c r="K29" s="10"/>
      <c r="L29" s="20" t="str">
        <f>IF(COUNTIF($J$2:J29,J29)&gt;1,"DUPLICATE","OK")</f>
        <v>OK</v>
      </c>
    </row>
    <row r="30" spans="1:12" ht="18" customHeight="1" x14ac:dyDescent="0.2">
      <c r="A30" s="61" t="str">
        <f>IF(LEFT(TRIM(Raw_Data!A30),5)="CUST-",UPPER(TRIM(Raw_Data!A30)),"CUST-"&amp;UPPER(TRIM(Raw_Data!A30)))</f>
        <v>CUST-1027</v>
      </c>
      <c r="B30" s="10" t="str">
        <f>Raw_Data!B30</f>
        <v>ACC-119177</v>
      </c>
      <c r="C30" s="10" t="str">
        <f>PROPER(TRIM(CLEAN(Raw_Data!C30)))</f>
        <v>Sunita Rao</v>
      </c>
      <c r="D30" s="10" t="str">
        <f>Raw_Data!D30</f>
        <v>2026-08-25</v>
      </c>
      <c r="E30" s="10" t="str">
        <f>PROPER(TRIM(Raw_Data!E30))</f>
        <v>Debit</v>
      </c>
      <c r="F30" s="68">
        <f>IFERROR(VALUE(SUBSTITUTE(SUBSTITUTE(TRIM(Raw_Data!F30),"$",""),",","")),"CHECK")</f>
        <v>1800</v>
      </c>
      <c r="G30" s="10" t="str">
        <f>Raw_Data!G30</f>
        <v>INR</v>
      </c>
      <c r="H30" s="10" t="str">
        <f>IF(TRIM(Raw_Data!H30)="","UNKNOWN",TRIM(Raw_Data!H30))</f>
        <v>BRN-03</v>
      </c>
      <c r="I30" s="10" t="str">
        <f>Raw_Data!I30</f>
        <v>TXN-0027</v>
      </c>
      <c r="J30" s="62" t="str">
        <f>PROPER(TRIM(CLEAN(Raw_Data!J30)))</f>
        <v>Monthly Subscription</v>
      </c>
      <c r="K30" s="10"/>
      <c r="L30" s="20" t="str">
        <f>IF(COUNTIF($J$2:J30,J30)&gt;1,"DUPLICATE","OK")</f>
        <v>OK</v>
      </c>
    </row>
    <row r="31" spans="1:12" ht="18" customHeight="1" x14ac:dyDescent="0.2">
      <c r="A31" s="66" t="str">
        <f>IF(LEFT(TRIM(Raw_Data!A31),5)="CUST-",UPPER(TRIM(Raw_Data!A31)),"CUST-"&amp;UPPER(TRIM(Raw_Data!A31)))</f>
        <v>CUST-1028</v>
      </c>
      <c r="B31" s="60" t="str">
        <f>Raw_Data!B31</f>
        <v>ACC-008066</v>
      </c>
      <c r="C31" s="60" t="str">
        <f>PROPER(TRIM(CLEAN(Raw_Data!C31)))</f>
        <v>Rajan Pillai</v>
      </c>
      <c r="D31" s="60" t="str">
        <f>Raw_Data!D31</f>
        <v>25/08/2026</v>
      </c>
      <c r="E31" s="60" t="str">
        <f>PROPER(TRIM(Raw_Data!E31))</f>
        <v>Credit</v>
      </c>
      <c r="F31" s="69">
        <f>IFERROR(VALUE(SUBSTITUTE(SUBSTITUTE(TRIM(Raw_Data!F31),"$",""),",","")),"CHECK")</f>
        <v>14000</v>
      </c>
      <c r="G31" s="60" t="str">
        <f>Raw_Data!G31</f>
        <v>INR</v>
      </c>
      <c r="H31" s="60" t="str">
        <f>IF(TRIM(Raw_Data!H31)="","UNKNOWN",TRIM(Raw_Data!H31))</f>
        <v>BRN-04</v>
      </c>
      <c r="I31" s="60" t="str">
        <f>Raw_Data!I31</f>
        <v>TXN-0028</v>
      </c>
      <c r="J31" s="67" t="str">
        <f>PROPER(TRIM(CLEAN(Raw_Data!J31)))</f>
        <v>Salary Advance</v>
      </c>
      <c r="K31" s="60"/>
      <c r="L31" s="20" t="str">
        <f>IF(COUNTIF($J$2:J31,J31)&gt;1,"DUPLICATE","OK")</f>
        <v>OK</v>
      </c>
    </row>
    <row r="32" spans="1:12" x14ac:dyDescent="0.2">
      <c r="A32" s="73"/>
      <c r="B32" s="73"/>
      <c r="C32" s="73"/>
      <c r="D32" s="73"/>
      <c r="E32" s="73" t="s">
        <v>413</v>
      </c>
      <c r="F32" s="73">
        <f>COUNT(F2:F31)</f>
        <v>29</v>
      </c>
      <c r="G32" s="73"/>
      <c r="H32" s="73"/>
      <c r="I32" s="73"/>
      <c r="J32" s="73"/>
      <c r="K32" s="73"/>
      <c r="L32" s="74"/>
    </row>
    <row r="33" spans="1:12" x14ac:dyDescent="0.2">
      <c r="A33" s="73"/>
      <c r="B33" s="73"/>
      <c r="C33" s="73"/>
      <c r="D33" s="73"/>
      <c r="E33" s="73"/>
      <c r="F33" s="75">
        <f>SUM(F2:F31)</f>
        <v>282900.5</v>
      </c>
      <c r="G33" s="73"/>
      <c r="H33" s="73"/>
      <c r="I33" s="73"/>
      <c r="J33" s="73"/>
      <c r="K33" s="73"/>
      <c r="L33" s="74"/>
    </row>
    <row r="34" spans="1:12" ht="21.75" customHeight="1" x14ac:dyDescent="0.2">
      <c r="A34" s="85" t="s">
        <v>287</v>
      </c>
      <c r="B34" s="85"/>
      <c r="C34" s="85"/>
      <c r="D34" s="85"/>
      <c r="E34" s="85"/>
      <c r="F34" s="85"/>
      <c r="G34" s="85"/>
      <c r="H34" s="85"/>
      <c r="I34" s="85"/>
      <c r="J34" s="85"/>
    </row>
    <row r="36" spans="1:12" ht="24" customHeight="1" x14ac:dyDescent="0.2">
      <c r="A36" s="86" t="s">
        <v>288</v>
      </c>
      <c r="B36" s="86"/>
      <c r="C36" s="86"/>
      <c r="D36" s="86"/>
      <c r="E36" s="86"/>
      <c r="F36" s="86"/>
      <c r="G36" s="86"/>
      <c r="H36" s="86"/>
      <c r="I36" s="86"/>
      <c r="J36" s="86"/>
    </row>
    <row r="37" spans="1:12" ht="21.75" customHeight="1" x14ac:dyDescent="0.2">
      <c r="A37" s="1" t="s">
        <v>289</v>
      </c>
      <c r="B37" s="81" t="s">
        <v>290</v>
      </c>
      <c r="C37" s="81"/>
      <c r="D37" s="81"/>
      <c r="E37" s="81"/>
      <c r="F37" s="81"/>
      <c r="G37" s="82" t="s">
        <v>291</v>
      </c>
      <c r="H37" s="82"/>
      <c r="I37" s="82"/>
      <c r="J37" s="82"/>
    </row>
    <row r="38" spans="1:12" ht="21.75" customHeight="1" x14ac:dyDescent="0.2">
      <c r="A38" s="1" t="s">
        <v>292</v>
      </c>
      <c r="B38" s="81" t="s">
        <v>293</v>
      </c>
      <c r="C38" s="81"/>
      <c r="D38" s="81"/>
      <c r="E38" s="81"/>
      <c r="F38" s="81"/>
      <c r="G38" s="82" t="s">
        <v>294</v>
      </c>
      <c r="H38" s="82"/>
      <c r="I38" s="82"/>
      <c r="J38" s="82"/>
    </row>
    <row r="39" spans="1:12" ht="21.75" customHeight="1" x14ac:dyDescent="0.2">
      <c r="A39" s="1" t="s">
        <v>295</v>
      </c>
      <c r="B39" s="81" t="s">
        <v>296</v>
      </c>
      <c r="C39" s="81"/>
      <c r="D39" s="81"/>
      <c r="E39" s="81"/>
      <c r="F39" s="81"/>
      <c r="G39" s="82" t="s">
        <v>297</v>
      </c>
      <c r="H39" s="82"/>
      <c r="I39" s="82"/>
      <c r="J39" s="82"/>
    </row>
    <row r="40" spans="1:12" ht="21.75" customHeight="1" x14ac:dyDescent="0.2">
      <c r="A40" s="1" t="s">
        <v>298</v>
      </c>
      <c r="B40" s="81" t="s">
        <v>299</v>
      </c>
      <c r="C40" s="81"/>
      <c r="D40" s="81"/>
      <c r="E40" s="81"/>
      <c r="F40" s="81"/>
      <c r="G40" s="82" t="s">
        <v>300</v>
      </c>
      <c r="H40" s="82"/>
      <c r="I40" s="82"/>
      <c r="J40" s="82"/>
    </row>
    <row r="41" spans="1:12" ht="21.75" customHeight="1" x14ac:dyDescent="0.2">
      <c r="A41" s="1" t="s">
        <v>301</v>
      </c>
      <c r="B41" s="81" t="s">
        <v>302</v>
      </c>
      <c r="C41" s="81"/>
      <c r="D41" s="81"/>
      <c r="E41" s="81"/>
      <c r="F41" s="81"/>
      <c r="G41" s="82" t="s">
        <v>303</v>
      </c>
      <c r="H41" s="82"/>
      <c r="I41" s="82"/>
      <c r="J41" s="82"/>
    </row>
    <row r="43" spans="1:12" ht="18" customHeight="1" x14ac:dyDescent="0.2">
      <c r="A43" s="83" t="s">
        <v>304</v>
      </c>
      <c r="B43" s="83"/>
      <c r="C43" s="83"/>
      <c r="D43" s="83"/>
      <c r="E43" s="83"/>
      <c r="F43" s="83"/>
      <c r="G43" s="83"/>
      <c r="H43" s="83"/>
      <c r="I43" s="83"/>
      <c r="J43" s="83"/>
    </row>
    <row r="47" spans="1:12" x14ac:dyDescent="0.2">
      <c r="C47" s="71">
        <f>SUMIF(E3:E31,"Credit",F3:F31)/SUM(F3:F31)</f>
        <v>0.8628203381479318</v>
      </c>
      <c r="D47" s="70"/>
    </row>
  </sheetData>
  <mergeCells count="13">
    <mergeCell ref="A43:J43"/>
    <mergeCell ref="B39:F39"/>
    <mergeCell ref="G39:J39"/>
    <mergeCell ref="B40:F40"/>
    <mergeCell ref="G40:J40"/>
    <mergeCell ref="B41:F41"/>
    <mergeCell ref="G41:J41"/>
    <mergeCell ref="A34:J34"/>
    <mergeCell ref="A36:J36"/>
    <mergeCell ref="B37:F37"/>
    <mergeCell ref="G37:J37"/>
    <mergeCell ref="B38:F38"/>
    <mergeCell ref="G38:J38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40126-8AEF-4A4E-8DB8-AECEAC8E0235}">
  <dimension ref="A1:U33"/>
  <sheetViews>
    <sheetView showGridLines="0" topLeftCell="E1" zoomScale="130" zoomScaleNormal="130" workbookViewId="0">
      <selection activeCell="E20" sqref="E20"/>
    </sheetView>
  </sheetViews>
  <sheetFormatPr baseColWidth="10" defaultColWidth="8.6640625" defaultRowHeight="15" x14ac:dyDescent="0.2"/>
  <cols>
    <col min="1" max="2" width="18" customWidth="1"/>
    <col min="3" max="3" width="22" customWidth="1"/>
    <col min="4" max="4" width="18" customWidth="1"/>
    <col min="5" max="5" width="20" style="13" customWidth="1"/>
    <col min="6" max="6" width="14" customWidth="1"/>
    <col min="7" max="7" width="10" customWidth="1"/>
    <col min="8" max="8" width="14" customWidth="1"/>
    <col min="9" max="9" width="18" customWidth="1"/>
    <col min="10" max="10" width="38" customWidth="1"/>
    <col min="11" max="11" width="30" customWidth="1"/>
    <col min="13" max="13" width="24" customWidth="1"/>
    <col min="21" max="21" width="13.1640625" customWidth="1"/>
  </cols>
  <sheetData>
    <row r="1" spans="1:21" ht="27.75" customHeight="1" x14ac:dyDescent="0.2">
      <c r="A1" s="11" t="s">
        <v>35</v>
      </c>
      <c r="B1" s="11" t="s">
        <v>36</v>
      </c>
      <c r="C1" s="11" t="s">
        <v>37</v>
      </c>
      <c r="D1" s="11" t="s">
        <v>38</v>
      </c>
      <c r="E1" s="12" t="s">
        <v>39</v>
      </c>
      <c r="F1" s="11" t="s">
        <v>40</v>
      </c>
      <c r="G1" s="11" t="s">
        <v>41</v>
      </c>
      <c r="H1" s="11" t="s">
        <v>42</v>
      </c>
      <c r="I1" s="11" t="s">
        <v>43</v>
      </c>
      <c r="J1" s="11" t="s">
        <v>44</v>
      </c>
      <c r="K1" s="11" t="s">
        <v>45</v>
      </c>
    </row>
    <row r="2" spans="1:21" ht="18" customHeight="1" x14ac:dyDescent="0.2">
      <c r="A2" s="14" t="s">
        <v>46</v>
      </c>
      <c r="B2" s="14" t="s">
        <v>47</v>
      </c>
      <c r="C2" s="14" t="s">
        <v>48</v>
      </c>
      <c r="D2" s="14" t="s">
        <v>49</v>
      </c>
      <c r="E2" s="14" t="s">
        <v>50</v>
      </c>
      <c r="F2" s="14" t="s">
        <v>51</v>
      </c>
      <c r="G2" s="14" t="s">
        <v>52</v>
      </c>
      <c r="H2" s="14" t="s">
        <v>53</v>
      </c>
      <c r="I2" s="14" t="s">
        <v>54</v>
      </c>
      <c r="J2" s="14" t="s">
        <v>55</v>
      </c>
      <c r="K2" s="14" t="s">
        <v>56</v>
      </c>
    </row>
    <row r="3" spans="1:21" ht="18" customHeight="1" x14ac:dyDescent="0.2">
      <c r="A3" s="3" t="s">
        <v>57</v>
      </c>
      <c r="B3" s="3" t="s">
        <v>58</v>
      </c>
      <c r="C3" s="3" t="s">
        <v>59</v>
      </c>
      <c r="D3" s="3" t="s">
        <v>60</v>
      </c>
      <c r="E3" s="3" t="s">
        <v>61</v>
      </c>
      <c r="F3" s="6" t="s">
        <v>62</v>
      </c>
      <c r="G3" s="3" t="s">
        <v>52</v>
      </c>
      <c r="H3" s="3" t="s">
        <v>63</v>
      </c>
      <c r="I3" s="3" t="s">
        <v>64</v>
      </c>
      <c r="J3" s="3" t="s">
        <v>65</v>
      </c>
      <c r="K3" s="3" t="s">
        <v>66</v>
      </c>
      <c r="M3" s="16"/>
    </row>
    <row r="4" spans="1:21" ht="18" customHeight="1" x14ac:dyDescent="0.2">
      <c r="A4" s="15" t="s">
        <v>67</v>
      </c>
      <c r="B4" s="14" t="s">
        <v>68</v>
      </c>
      <c r="C4" s="14" t="s">
        <v>69</v>
      </c>
      <c r="D4" s="14" t="s">
        <v>70</v>
      </c>
      <c r="E4" s="14" t="s">
        <v>71</v>
      </c>
      <c r="F4" s="14" t="s">
        <v>72</v>
      </c>
      <c r="G4" s="14" t="s">
        <v>52</v>
      </c>
      <c r="H4" s="14"/>
      <c r="I4" s="14" t="s">
        <v>73</v>
      </c>
      <c r="J4" s="14" t="s">
        <v>74</v>
      </c>
      <c r="K4" s="14" t="s">
        <v>75</v>
      </c>
      <c r="U4" s="17">
        <v>46235</v>
      </c>
    </row>
    <row r="5" spans="1:21" ht="18" customHeight="1" x14ac:dyDescent="0.2">
      <c r="A5" s="3" t="s">
        <v>76</v>
      </c>
      <c r="B5" s="3" t="s">
        <v>77</v>
      </c>
      <c r="C5" s="3" t="s">
        <v>78</v>
      </c>
      <c r="D5" s="3" t="s">
        <v>79</v>
      </c>
      <c r="E5" s="3" t="s">
        <v>80</v>
      </c>
      <c r="F5" s="3" t="s">
        <v>81</v>
      </c>
      <c r="G5" s="3" t="s">
        <v>52</v>
      </c>
      <c r="H5" s="3" t="s">
        <v>53</v>
      </c>
      <c r="I5" s="3" t="s">
        <v>82</v>
      </c>
      <c r="J5" s="3" t="s">
        <v>83</v>
      </c>
      <c r="K5" s="3" t="s">
        <v>84</v>
      </c>
    </row>
    <row r="6" spans="1:21" ht="18" customHeight="1" x14ac:dyDescent="0.2">
      <c r="A6" s="14" t="s">
        <v>85</v>
      </c>
      <c r="B6" s="14" t="s">
        <v>86</v>
      </c>
      <c r="C6" s="14" t="s">
        <v>87</v>
      </c>
      <c r="D6" s="14" t="s">
        <v>88</v>
      </c>
      <c r="E6" s="14" t="s">
        <v>50</v>
      </c>
      <c r="F6" s="14" t="s">
        <v>89</v>
      </c>
      <c r="G6" s="14" t="s">
        <v>52</v>
      </c>
      <c r="H6" s="14" t="s">
        <v>90</v>
      </c>
      <c r="I6" s="14" t="s">
        <v>73</v>
      </c>
      <c r="J6" s="14" t="s">
        <v>91</v>
      </c>
      <c r="K6" s="14" t="s">
        <v>92</v>
      </c>
      <c r="U6" s="18">
        <v>46266</v>
      </c>
    </row>
    <row r="7" spans="1:21" ht="18" customHeight="1" x14ac:dyDescent="0.2">
      <c r="A7" s="8" t="s">
        <v>93</v>
      </c>
      <c r="B7" s="8" t="s">
        <v>94</v>
      </c>
      <c r="C7" s="8" t="s">
        <v>95</v>
      </c>
      <c r="D7" s="8" t="s">
        <v>96</v>
      </c>
      <c r="E7" s="8" t="s">
        <v>61</v>
      </c>
      <c r="F7" s="9" t="s">
        <v>97</v>
      </c>
      <c r="G7" s="8" t="s">
        <v>52</v>
      </c>
      <c r="H7" s="8" t="s">
        <v>63</v>
      </c>
      <c r="I7" s="8" t="s">
        <v>98</v>
      </c>
      <c r="J7" s="8" t="s">
        <v>99</v>
      </c>
      <c r="K7" s="8" t="s">
        <v>100</v>
      </c>
    </row>
    <row r="8" spans="1:21" ht="18" customHeight="1" x14ac:dyDescent="0.2">
      <c r="A8" s="14" t="s">
        <v>101</v>
      </c>
      <c r="B8" s="14" t="s">
        <v>102</v>
      </c>
      <c r="C8" s="14" t="s">
        <v>103</v>
      </c>
      <c r="D8" s="14" t="s">
        <v>104</v>
      </c>
      <c r="E8" s="14" t="s">
        <v>105</v>
      </c>
      <c r="F8" s="14" t="s">
        <v>106</v>
      </c>
      <c r="G8" s="14" t="s">
        <v>52</v>
      </c>
      <c r="H8" s="14" t="s">
        <v>107</v>
      </c>
      <c r="I8" s="14" t="s">
        <v>108</v>
      </c>
      <c r="J8" s="14" t="s">
        <v>109</v>
      </c>
      <c r="K8" s="14" t="s">
        <v>110</v>
      </c>
    </row>
    <row r="9" spans="1:21" ht="18" customHeight="1" x14ac:dyDescent="0.2">
      <c r="A9" s="3" t="s">
        <v>111</v>
      </c>
      <c r="B9" s="3" t="s">
        <v>112</v>
      </c>
      <c r="C9" s="3" t="s">
        <v>113</v>
      </c>
      <c r="D9" s="3" t="s">
        <v>114</v>
      </c>
      <c r="E9" s="3" t="s">
        <v>50</v>
      </c>
      <c r="F9" s="3" t="s">
        <v>115</v>
      </c>
      <c r="G9" s="3" t="s">
        <v>52</v>
      </c>
      <c r="H9" s="3"/>
      <c r="I9" s="3" t="s">
        <v>116</v>
      </c>
      <c r="J9" s="3" t="s">
        <v>117</v>
      </c>
      <c r="K9" s="3" t="s">
        <v>118</v>
      </c>
    </row>
    <row r="10" spans="1:21" ht="18" customHeight="1" x14ac:dyDescent="0.2">
      <c r="A10" s="14" t="s">
        <v>119</v>
      </c>
      <c r="B10" s="14" t="s">
        <v>120</v>
      </c>
      <c r="C10" s="14" t="s">
        <v>121</v>
      </c>
      <c r="D10" s="14" t="s">
        <v>122</v>
      </c>
      <c r="E10" s="14" t="s">
        <v>80</v>
      </c>
      <c r="F10" s="15" t="s">
        <v>123</v>
      </c>
      <c r="G10" s="14" t="s">
        <v>52</v>
      </c>
      <c r="H10" s="14" t="s">
        <v>90</v>
      </c>
      <c r="I10" s="14" t="s">
        <v>124</v>
      </c>
      <c r="J10" s="14" t="s">
        <v>125</v>
      </c>
      <c r="K10" s="14" t="s">
        <v>126</v>
      </c>
      <c r="U10" s="19">
        <v>46236</v>
      </c>
    </row>
    <row r="11" spans="1:21" ht="18" customHeight="1" x14ac:dyDescent="0.2">
      <c r="A11" s="3" t="s">
        <v>127</v>
      </c>
      <c r="B11" s="3" t="s">
        <v>128</v>
      </c>
      <c r="C11" s="3" t="s">
        <v>129</v>
      </c>
      <c r="D11" s="3" t="s">
        <v>130</v>
      </c>
      <c r="E11" s="3" t="s">
        <v>50</v>
      </c>
      <c r="F11" s="6" t="s">
        <v>131</v>
      </c>
      <c r="G11" s="3" t="s">
        <v>52</v>
      </c>
      <c r="H11" s="3" t="s">
        <v>53</v>
      </c>
      <c r="I11" s="3" t="s">
        <v>132</v>
      </c>
      <c r="J11" s="3" t="s">
        <v>133</v>
      </c>
      <c r="K11" s="3" t="s">
        <v>134</v>
      </c>
    </row>
    <row r="12" spans="1:21" ht="18" customHeight="1" x14ac:dyDescent="0.2">
      <c r="A12" s="14" t="s">
        <v>135</v>
      </c>
      <c r="B12" s="14" t="s">
        <v>136</v>
      </c>
      <c r="C12" s="14" t="s">
        <v>137</v>
      </c>
      <c r="D12" s="14" t="s">
        <v>138</v>
      </c>
      <c r="E12" s="14" t="s">
        <v>105</v>
      </c>
      <c r="F12" s="14" t="s">
        <v>139</v>
      </c>
      <c r="G12" s="14" t="s">
        <v>52</v>
      </c>
      <c r="H12" s="14" t="s">
        <v>140</v>
      </c>
      <c r="I12" s="14" t="s">
        <v>141</v>
      </c>
      <c r="J12" s="14" t="s">
        <v>142</v>
      </c>
      <c r="K12" s="14" t="s">
        <v>143</v>
      </c>
    </row>
    <row r="13" spans="1:21" ht="18" customHeight="1" x14ac:dyDescent="0.2">
      <c r="A13" s="6" t="s">
        <v>144</v>
      </c>
      <c r="B13" s="3" t="s">
        <v>145</v>
      </c>
      <c r="C13" s="3" t="s">
        <v>146</v>
      </c>
      <c r="D13" s="3" t="s">
        <v>147</v>
      </c>
      <c r="E13" s="3" t="s">
        <v>50</v>
      </c>
      <c r="F13" s="3" t="s">
        <v>148</v>
      </c>
      <c r="G13" s="3" t="s">
        <v>52</v>
      </c>
      <c r="H13" s="3" t="s">
        <v>63</v>
      </c>
      <c r="I13" s="3" t="s">
        <v>149</v>
      </c>
      <c r="J13" s="3" t="s">
        <v>150</v>
      </c>
      <c r="K13" s="3" t="s">
        <v>151</v>
      </c>
    </row>
    <row r="14" spans="1:21" ht="18" customHeight="1" x14ac:dyDescent="0.2">
      <c r="A14" s="14" t="s">
        <v>67</v>
      </c>
      <c r="B14" s="14" t="s">
        <v>68</v>
      </c>
      <c r="C14" s="14" t="s">
        <v>69</v>
      </c>
      <c r="D14" s="14" t="s">
        <v>70</v>
      </c>
      <c r="E14" s="14" t="s">
        <v>71</v>
      </c>
      <c r="F14" s="15" t="s">
        <v>72</v>
      </c>
      <c r="G14" s="14" t="s">
        <v>52</v>
      </c>
      <c r="H14" s="14"/>
      <c r="I14" s="14" t="s">
        <v>73</v>
      </c>
      <c r="J14" s="14" t="s">
        <v>152</v>
      </c>
      <c r="K14" s="14" t="s">
        <v>75</v>
      </c>
    </row>
    <row r="15" spans="1:21" ht="18" customHeight="1" x14ac:dyDescent="0.2">
      <c r="A15" s="9" t="s">
        <v>153</v>
      </c>
      <c r="B15" s="8" t="s">
        <v>154</v>
      </c>
      <c r="C15" s="8" t="s">
        <v>155</v>
      </c>
      <c r="D15" s="8" t="s">
        <v>156</v>
      </c>
      <c r="E15" s="8" t="s">
        <v>80</v>
      </c>
      <c r="F15" s="8" t="s">
        <v>157</v>
      </c>
      <c r="G15" s="8" t="s">
        <v>52</v>
      </c>
      <c r="H15" s="7" t="s">
        <v>107</v>
      </c>
      <c r="I15" s="8" t="s">
        <v>158</v>
      </c>
      <c r="J15" s="8" t="s">
        <v>159</v>
      </c>
      <c r="K15" s="8" t="s">
        <v>160</v>
      </c>
    </row>
    <row r="16" spans="1:21" ht="18" customHeight="1" x14ac:dyDescent="0.2">
      <c r="A16" s="14" t="s">
        <v>161</v>
      </c>
      <c r="B16" s="14" t="s">
        <v>162</v>
      </c>
      <c r="C16" s="14" t="s">
        <v>163</v>
      </c>
      <c r="D16" s="14" t="s">
        <v>164</v>
      </c>
      <c r="E16" s="14" t="s">
        <v>165</v>
      </c>
      <c r="F16" s="15" t="s">
        <v>166</v>
      </c>
      <c r="G16" s="14" t="s">
        <v>52</v>
      </c>
      <c r="H16" s="14" t="s">
        <v>53</v>
      </c>
      <c r="I16" s="14" t="s">
        <v>167</v>
      </c>
      <c r="J16" s="14" t="s">
        <v>168</v>
      </c>
      <c r="K16" s="14" t="s">
        <v>169</v>
      </c>
    </row>
    <row r="17" spans="1:11" ht="18" customHeight="1" x14ac:dyDescent="0.2">
      <c r="A17" s="3" t="s">
        <v>170</v>
      </c>
      <c r="B17" s="3" t="s">
        <v>171</v>
      </c>
      <c r="C17" s="3" t="s">
        <v>172</v>
      </c>
      <c r="D17" s="3" t="s">
        <v>173</v>
      </c>
      <c r="E17" s="3" t="s">
        <v>105</v>
      </c>
      <c r="F17" s="3" t="s">
        <v>174</v>
      </c>
      <c r="G17" s="3" t="s">
        <v>52</v>
      </c>
      <c r="H17" s="7"/>
      <c r="I17" s="3" t="s">
        <v>175</v>
      </c>
      <c r="J17" s="3" t="s">
        <v>176</v>
      </c>
      <c r="K17" s="3" t="s">
        <v>177</v>
      </c>
    </row>
    <row r="18" spans="1:11" ht="18" customHeight="1" x14ac:dyDescent="0.2">
      <c r="A18" s="15" t="s">
        <v>178</v>
      </c>
      <c r="B18" s="14" t="s">
        <v>179</v>
      </c>
      <c r="C18" s="14" t="s">
        <v>180</v>
      </c>
      <c r="D18" s="14" t="s">
        <v>181</v>
      </c>
      <c r="E18" s="14" t="s">
        <v>50</v>
      </c>
      <c r="F18" s="14" t="s">
        <v>182</v>
      </c>
      <c r="G18" s="14" t="s">
        <v>52</v>
      </c>
      <c r="H18" s="14" t="s">
        <v>90</v>
      </c>
      <c r="I18" s="14" t="s">
        <v>183</v>
      </c>
      <c r="J18" s="14" t="s">
        <v>184</v>
      </c>
      <c r="K18" s="14" t="s">
        <v>185</v>
      </c>
    </row>
    <row r="19" spans="1:11" ht="18" customHeight="1" x14ac:dyDescent="0.2">
      <c r="A19" s="3" t="s">
        <v>57</v>
      </c>
      <c r="B19" s="3" t="s">
        <v>58</v>
      </c>
      <c r="C19" s="3" t="s">
        <v>59</v>
      </c>
      <c r="D19" s="3" t="s">
        <v>60</v>
      </c>
      <c r="E19" s="3" t="s">
        <v>61</v>
      </c>
      <c r="F19" s="3" t="s">
        <v>62</v>
      </c>
      <c r="G19" s="3" t="s">
        <v>52</v>
      </c>
      <c r="H19" s="3" t="s">
        <v>63</v>
      </c>
      <c r="I19" s="3" t="s">
        <v>64</v>
      </c>
      <c r="J19" s="3" t="s">
        <v>65</v>
      </c>
      <c r="K19" s="3" t="s">
        <v>66</v>
      </c>
    </row>
    <row r="20" spans="1:11" ht="18" customHeight="1" x14ac:dyDescent="0.2">
      <c r="A20" s="14" t="s">
        <v>186</v>
      </c>
      <c r="B20" s="14" t="s">
        <v>187</v>
      </c>
      <c r="C20" s="14" t="s">
        <v>188</v>
      </c>
      <c r="D20" s="14" t="s">
        <v>189</v>
      </c>
      <c r="E20" s="14" t="s">
        <v>80</v>
      </c>
      <c r="F20" s="15" t="s">
        <v>190</v>
      </c>
      <c r="G20" s="14" t="s">
        <v>52</v>
      </c>
      <c r="H20" s="14" t="s">
        <v>140</v>
      </c>
      <c r="I20" s="14" t="s">
        <v>191</v>
      </c>
      <c r="J20" s="14" t="s">
        <v>192</v>
      </c>
      <c r="K20" s="14" t="s">
        <v>193</v>
      </c>
    </row>
    <row r="21" spans="1:11" ht="18" customHeight="1" x14ac:dyDescent="0.2">
      <c r="A21" s="3" t="s">
        <v>194</v>
      </c>
      <c r="B21" s="3" t="s">
        <v>195</v>
      </c>
      <c r="C21" s="3" t="s">
        <v>196</v>
      </c>
      <c r="D21" s="3" t="s">
        <v>197</v>
      </c>
      <c r="E21" s="3" t="s">
        <v>50</v>
      </c>
      <c r="F21" s="3" t="s">
        <v>198</v>
      </c>
      <c r="G21" s="3" t="s">
        <v>52</v>
      </c>
      <c r="H21" s="3" t="s">
        <v>63</v>
      </c>
      <c r="I21" s="3" t="s">
        <v>199</v>
      </c>
      <c r="J21" s="3" t="s">
        <v>200</v>
      </c>
      <c r="K21" s="3" t="s">
        <v>201</v>
      </c>
    </row>
    <row r="22" spans="1:11" ht="18" customHeight="1" x14ac:dyDescent="0.2">
      <c r="A22" s="14" t="s">
        <v>202</v>
      </c>
      <c r="B22" s="14" t="s">
        <v>203</v>
      </c>
      <c r="C22" s="14" t="s">
        <v>204</v>
      </c>
      <c r="D22" s="14" t="s">
        <v>205</v>
      </c>
      <c r="E22" s="14" t="s">
        <v>61</v>
      </c>
      <c r="F22" s="15" t="s">
        <v>206</v>
      </c>
      <c r="G22" s="14" t="s">
        <v>52</v>
      </c>
      <c r="H22" s="14"/>
      <c r="I22" s="14" t="s">
        <v>207</v>
      </c>
      <c r="J22" s="14" t="s">
        <v>208</v>
      </c>
      <c r="K22" s="14" t="s">
        <v>209</v>
      </c>
    </row>
    <row r="23" spans="1:11" ht="18" customHeight="1" x14ac:dyDescent="0.2">
      <c r="A23" s="3" t="s">
        <v>210</v>
      </c>
      <c r="B23" s="3" t="s">
        <v>211</v>
      </c>
      <c r="C23" s="3" t="s">
        <v>212</v>
      </c>
      <c r="D23" s="3" t="s">
        <v>213</v>
      </c>
      <c r="E23" s="3" t="s">
        <v>71</v>
      </c>
      <c r="F23" s="3" t="s">
        <v>214</v>
      </c>
      <c r="G23" s="3" t="s">
        <v>52</v>
      </c>
      <c r="H23" s="7" t="s">
        <v>53</v>
      </c>
      <c r="I23" s="3" t="s">
        <v>215</v>
      </c>
      <c r="J23" s="3" t="s">
        <v>216</v>
      </c>
      <c r="K23" s="3" t="s">
        <v>217</v>
      </c>
    </row>
    <row r="24" spans="1:11" ht="18" customHeight="1" x14ac:dyDescent="0.2">
      <c r="A24" s="15" t="s">
        <v>218</v>
      </c>
      <c r="B24" s="14" t="s">
        <v>219</v>
      </c>
      <c r="C24" s="14" t="s">
        <v>220</v>
      </c>
      <c r="D24" s="14" t="s">
        <v>221</v>
      </c>
      <c r="E24" s="14" t="s">
        <v>50</v>
      </c>
      <c r="F24" s="14" t="s">
        <v>222</v>
      </c>
      <c r="G24" s="14" t="s">
        <v>52</v>
      </c>
      <c r="H24" s="14" t="s">
        <v>90</v>
      </c>
      <c r="I24" s="14" t="s">
        <v>223</v>
      </c>
      <c r="J24" s="14" t="s">
        <v>224</v>
      </c>
      <c r="K24" s="14" t="s">
        <v>225</v>
      </c>
    </row>
    <row r="25" spans="1:11" ht="18" customHeight="1" x14ac:dyDescent="0.2">
      <c r="A25" s="3" t="s">
        <v>226</v>
      </c>
      <c r="B25" s="3" t="s">
        <v>227</v>
      </c>
      <c r="C25" s="3" t="s">
        <v>228</v>
      </c>
      <c r="D25" s="3" t="s">
        <v>229</v>
      </c>
      <c r="E25" s="3" t="s">
        <v>105</v>
      </c>
      <c r="F25" s="3" t="s">
        <v>230</v>
      </c>
      <c r="G25" s="3" t="s">
        <v>52</v>
      </c>
      <c r="H25" s="3" t="s">
        <v>107</v>
      </c>
      <c r="I25" s="3" t="s">
        <v>231</v>
      </c>
      <c r="J25" s="3" t="s">
        <v>232</v>
      </c>
      <c r="K25" s="3" t="s">
        <v>233</v>
      </c>
    </row>
    <row r="26" spans="1:11" ht="18" customHeight="1" x14ac:dyDescent="0.2">
      <c r="A26" s="15" t="s">
        <v>234</v>
      </c>
      <c r="B26" s="14" t="s">
        <v>235</v>
      </c>
      <c r="C26" s="14" t="s">
        <v>236</v>
      </c>
      <c r="D26" s="14" t="s">
        <v>237</v>
      </c>
      <c r="E26" s="14" t="s">
        <v>238</v>
      </c>
      <c r="F26" s="14" t="s">
        <v>239</v>
      </c>
      <c r="G26" s="14" t="s">
        <v>52</v>
      </c>
      <c r="H26" s="14"/>
      <c r="I26" s="14" t="s">
        <v>240</v>
      </c>
      <c r="J26" s="14" t="s">
        <v>241</v>
      </c>
      <c r="K26" s="14" t="s">
        <v>242</v>
      </c>
    </row>
    <row r="27" spans="1:11" ht="18" customHeight="1" x14ac:dyDescent="0.2">
      <c r="A27" s="3" t="s">
        <v>243</v>
      </c>
      <c r="B27" s="3" t="s">
        <v>244</v>
      </c>
      <c r="C27" s="3" t="s">
        <v>245</v>
      </c>
      <c r="D27" s="3" t="s">
        <v>237</v>
      </c>
      <c r="E27" s="3" t="s">
        <v>165</v>
      </c>
      <c r="F27" s="6" t="s">
        <v>246</v>
      </c>
      <c r="G27" s="3" t="s">
        <v>52</v>
      </c>
      <c r="H27" s="3" t="s">
        <v>63</v>
      </c>
      <c r="I27" s="3" t="s">
        <v>247</v>
      </c>
      <c r="J27" s="3" t="s">
        <v>248</v>
      </c>
      <c r="K27" s="3" t="s">
        <v>249</v>
      </c>
    </row>
    <row r="28" spans="1:11" ht="18" customHeight="1" x14ac:dyDescent="0.2">
      <c r="A28" s="14" t="s">
        <v>250</v>
      </c>
      <c r="B28" s="14" t="s">
        <v>251</v>
      </c>
      <c r="C28" s="14" t="s">
        <v>252</v>
      </c>
      <c r="D28" s="14" t="s">
        <v>237</v>
      </c>
      <c r="E28" s="14" t="s">
        <v>105</v>
      </c>
      <c r="F28" s="15" t="s">
        <v>253</v>
      </c>
      <c r="G28" s="14" t="s">
        <v>52</v>
      </c>
      <c r="H28" s="14" t="s">
        <v>140</v>
      </c>
      <c r="I28" s="14" t="s">
        <v>254</v>
      </c>
      <c r="J28" s="14" t="s">
        <v>255</v>
      </c>
      <c r="K28" s="14" t="s">
        <v>256</v>
      </c>
    </row>
    <row r="29" spans="1:11" ht="18" customHeight="1" x14ac:dyDescent="0.2">
      <c r="A29" s="3" t="s">
        <v>257</v>
      </c>
      <c r="B29" s="3" t="s">
        <v>258</v>
      </c>
      <c r="C29" s="3" t="s">
        <v>259</v>
      </c>
      <c r="D29" s="3" t="s">
        <v>237</v>
      </c>
      <c r="E29" s="3" t="s">
        <v>50</v>
      </c>
      <c r="F29" s="3" t="s">
        <v>260</v>
      </c>
      <c r="G29" s="3" t="s">
        <v>52</v>
      </c>
      <c r="H29" s="3" t="s">
        <v>53</v>
      </c>
      <c r="I29" s="3" t="s">
        <v>261</v>
      </c>
      <c r="J29" s="3" t="s">
        <v>262</v>
      </c>
      <c r="K29" s="3" t="s">
        <v>263</v>
      </c>
    </row>
    <row r="30" spans="1:11" ht="18" customHeight="1" x14ac:dyDescent="0.2">
      <c r="A30" s="14" t="s">
        <v>264</v>
      </c>
      <c r="B30" s="14" t="s">
        <v>265</v>
      </c>
      <c r="C30" s="14" t="s">
        <v>266</v>
      </c>
      <c r="D30" s="14" t="s">
        <v>237</v>
      </c>
      <c r="E30" s="14" t="s">
        <v>80</v>
      </c>
      <c r="F30" s="14" t="s">
        <v>267</v>
      </c>
      <c r="G30" s="14" t="s">
        <v>52</v>
      </c>
      <c r="H30" s="14" t="s">
        <v>90</v>
      </c>
      <c r="I30" s="14" t="s">
        <v>268</v>
      </c>
      <c r="J30" s="14" t="s">
        <v>269</v>
      </c>
      <c r="K30" s="14" t="s">
        <v>270</v>
      </c>
    </row>
    <row r="31" spans="1:11" ht="18" customHeight="1" x14ac:dyDescent="0.2">
      <c r="A31" s="3" t="s">
        <v>271</v>
      </c>
      <c r="B31" s="3" t="s">
        <v>272</v>
      </c>
      <c r="C31" s="3" t="s">
        <v>273</v>
      </c>
      <c r="D31" s="3" t="s">
        <v>274</v>
      </c>
      <c r="E31" s="3" t="s">
        <v>71</v>
      </c>
      <c r="F31" s="3" t="s">
        <v>275</v>
      </c>
      <c r="G31" s="3" t="s">
        <v>52</v>
      </c>
      <c r="H31" s="3" t="s">
        <v>107</v>
      </c>
      <c r="I31" s="3" t="s">
        <v>276</v>
      </c>
      <c r="J31" s="3" t="s">
        <v>277</v>
      </c>
      <c r="K31" s="3" t="s">
        <v>278</v>
      </c>
    </row>
    <row r="33" spans="1:11" ht="19.5" customHeight="1" x14ac:dyDescent="0.2">
      <c r="A33" s="87" t="s">
        <v>279</v>
      </c>
      <c r="B33" s="87"/>
      <c r="C33" s="87"/>
      <c r="D33" s="87"/>
      <c r="E33" s="87"/>
      <c r="F33" s="87"/>
      <c r="G33" s="87"/>
      <c r="H33" s="87"/>
      <c r="I33" s="87"/>
      <c r="J33" s="87"/>
      <c r="K33" s="87"/>
    </row>
  </sheetData>
  <mergeCells count="1">
    <mergeCell ref="A33:K3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2DCC8-11E0-2146-ADEA-B8D2597B60B6}">
  <dimension ref="A1:K44"/>
  <sheetViews>
    <sheetView showGridLines="0" topLeftCell="F1" zoomScale="130" zoomScaleNormal="130" workbookViewId="0">
      <pane ySplit="1" topLeftCell="A2" activePane="bottomLeft" state="frozen"/>
      <selection pane="bottomLeft" activeCell="N17" sqref="N17"/>
    </sheetView>
  </sheetViews>
  <sheetFormatPr baseColWidth="10" defaultColWidth="8.6640625" defaultRowHeight="15" x14ac:dyDescent="0.2"/>
  <cols>
    <col min="1" max="2" width="18" customWidth="1"/>
    <col min="3" max="3" width="22" customWidth="1"/>
    <col min="4" max="4" width="18" customWidth="1"/>
    <col min="5" max="5" width="20" customWidth="1"/>
    <col min="6" max="6" width="14" customWidth="1"/>
    <col min="7" max="7" width="10" customWidth="1"/>
    <col min="8" max="8" width="14" customWidth="1"/>
    <col min="9" max="9" width="18" customWidth="1"/>
    <col min="10" max="10" width="38" customWidth="1"/>
    <col min="11" max="11" width="30" customWidth="1"/>
  </cols>
  <sheetData>
    <row r="1" spans="1:11" ht="27.75" customHeight="1" x14ac:dyDescent="0.2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  <c r="H1" s="1" t="s">
        <v>42</v>
      </c>
      <c r="I1" s="1" t="s">
        <v>43</v>
      </c>
      <c r="J1" s="1" t="s">
        <v>44</v>
      </c>
      <c r="K1" s="1" t="s">
        <v>45</v>
      </c>
    </row>
    <row r="2" spans="1:11" ht="18" customHeight="1" x14ac:dyDescent="0.2">
      <c r="A2" s="3" t="s">
        <v>46</v>
      </c>
      <c r="B2" s="3" t="s">
        <v>47</v>
      </c>
      <c r="C2" s="3" t="s">
        <v>48</v>
      </c>
      <c r="D2" s="23">
        <v>46235</v>
      </c>
      <c r="E2" s="3" t="s">
        <v>50</v>
      </c>
      <c r="F2" s="3">
        <v>15000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</row>
    <row r="3" spans="1:11" ht="18" customHeight="1" x14ac:dyDescent="0.2">
      <c r="A3" s="3" t="s">
        <v>57</v>
      </c>
      <c r="B3" s="3" t="s">
        <v>58</v>
      </c>
      <c r="C3" s="3" t="s">
        <v>59</v>
      </c>
      <c r="D3" s="22">
        <v>46236</v>
      </c>
      <c r="E3" s="3" t="s">
        <v>61</v>
      </c>
      <c r="F3" s="3">
        <v>8500</v>
      </c>
      <c r="G3" s="3" t="s">
        <v>52</v>
      </c>
      <c r="H3" s="3" t="s">
        <v>63</v>
      </c>
      <c r="I3" s="3" t="s">
        <v>64</v>
      </c>
      <c r="J3" s="3" t="s">
        <v>65</v>
      </c>
      <c r="K3" s="3" t="s">
        <v>66</v>
      </c>
    </row>
    <row r="4" spans="1:11" ht="18" customHeight="1" x14ac:dyDescent="0.2">
      <c r="A4" s="6" t="s">
        <v>67</v>
      </c>
      <c r="B4" s="3" t="s">
        <v>68</v>
      </c>
      <c r="C4" s="3" t="s">
        <v>69</v>
      </c>
      <c r="D4" s="23" t="s">
        <v>70</v>
      </c>
      <c r="E4" s="3" t="s">
        <v>71</v>
      </c>
      <c r="F4" s="26">
        <v>22000</v>
      </c>
      <c r="G4" s="3" t="s">
        <v>52</v>
      </c>
      <c r="H4" s="7"/>
      <c r="I4" s="3" t="s">
        <v>73</v>
      </c>
      <c r="J4" s="3" t="s">
        <v>74</v>
      </c>
      <c r="K4" s="3" t="s">
        <v>75</v>
      </c>
    </row>
    <row r="5" spans="1:11" ht="18" customHeight="1" x14ac:dyDescent="0.2">
      <c r="A5" s="3" t="s">
        <v>76</v>
      </c>
      <c r="B5" s="3" t="s">
        <v>77</v>
      </c>
      <c r="C5" s="3" t="s">
        <v>78</v>
      </c>
      <c r="D5" s="23">
        <v>46238</v>
      </c>
      <c r="E5" s="3" t="s">
        <v>80</v>
      </c>
      <c r="F5" s="3">
        <v>3750</v>
      </c>
      <c r="G5" s="3" t="s">
        <v>52</v>
      </c>
      <c r="H5" s="3" t="s">
        <v>53</v>
      </c>
      <c r="I5" s="3" t="s">
        <v>82</v>
      </c>
      <c r="J5" s="3" t="s">
        <v>83</v>
      </c>
      <c r="K5" s="3" t="s">
        <v>84</v>
      </c>
    </row>
    <row r="6" spans="1:11" ht="18" customHeight="1" x14ac:dyDescent="0.2">
      <c r="A6" s="3" t="s">
        <v>85</v>
      </c>
      <c r="B6" s="3" t="s">
        <v>86</v>
      </c>
      <c r="C6" s="3" t="s">
        <v>87</v>
      </c>
      <c r="D6" s="23">
        <v>46239</v>
      </c>
      <c r="E6" s="3" t="s">
        <v>50</v>
      </c>
      <c r="F6" s="3">
        <v>9800</v>
      </c>
      <c r="G6" s="3" t="s">
        <v>52</v>
      </c>
      <c r="H6" s="3" t="s">
        <v>90</v>
      </c>
      <c r="I6" s="3" t="s">
        <v>73</v>
      </c>
      <c r="J6" s="3" t="s">
        <v>91</v>
      </c>
      <c r="K6" s="3" t="s">
        <v>92</v>
      </c>
    </row>
    <row r="7" spans="1:11" ht="18" customHeight="1" x14ac:dyDescent="0.2">
      <c r="A7" s="8" t="s">
        <v>93</v>
      </c>
      <c r="B7" s="8" t="s">
        <v>94</v>
      </c>
      <c r="C7" s="8" t="s">
        <v>95</v>
      </c>
      <c r="D7" s="24">
        <v>46240</v>
      </c>
      <c r="E7" s="8" t="s">
        <v>61</v>
      </c>
      <c r="F7" s="8">
        <v>1200.5</v>
      </c>
      <c r="G7" s="8" t="s">
        <v>52</v>
      </c>
      <c r="H7" s="8" t="s">
        <v>63</v>
      </c>
      <c r="I7" s="8" t="s">
        <v>98</v>
      </c>
      <c r="J7" s="8" t="s">
        <v>99</v>
      </c>
      <c r="K7" s="8" t="s">
        <v>100</v>
      </c>
    </row>
    <row r="8" spans="1:11" ht="18" customHeight="1" x14ac:dyDescent="0.2">
      <c r="A8" s="3" t="s">
        <v>101</v>
      </c>
      <c r="B8" s="3" t="s">
        <v>102</v>
      </c>
      <c r="C8" s="3" t="s">
        <v>103</v>
      </c>
      <c r="D8" s="23">
        <v>46241</v>
      </c>
      <c r="E8" s="3" t="s">
        <v>105</v>
      </c>
      <c r="F8" s="3">
        <v>500</v>
      </c>
      <c r="G8" s="3" t="s">
        <v>52</v>
      </c>
      <c r="H8" s="3" t="s">
        <v>107</v>
      </c>
      <c r="I8" s="3" t="s">
        <v>108</v>
      </c>
      <c r="J8" s="3" t="s">
        <v>109</v>
      </c>
      <c r="K8" s="3" t="s">
        <v>110</v>
      </c>
    </row>
    <row r="9" spans="1:11" ht="18" customHeight="1" x14ac:dyDescent="0.2">
      <c r="A9" s="3" t="s">
        <v>111</v>
      </c>
      <c r="B9" s="3" t="s">
        <v>112</v>
      </c>
      <c r="C9" s="3" t="s">
        <v>113</v>
      </c>
      <c r="D9" s="25">
        <v>46242</v>
      </c>
      <c r="E9" s="3" t="s">
        <v>50</v>
      </c>
      <c r="F9" s="3">
        <v>45000</v>
      </c>
      <c r="G9" s="3" t="s">
        <v>52</v>
      </c>
      <c r="H9" s="3"/>
      <c r="I9" s="3" t="s">
        <v>116</v>
      </c>
      <c r="J9" s="3" t="s">
        <v>117</v>
      </c>
      <c r="K9" s="3" t="s">
        <v>118</v>
      </c>
    </row>
    <row r="10" spans="1:11" ht="18" customHeight="1" x14ac:dyDescent="0.2">
      <c r="A10" s="3" t="s">
        <v>119</v>
      </c>
      <c r="B10" s="3" t="s">
        <v>120</v>
      </c>
      <c r="C10" s="3" t="s">
        <v>121</v>
      </c>
      <c r="D10" s="23">
        <v>46243</v>
      </c>
      <c r="E10" s="3" t="s">
        <v>80</v>
      </c>
      <c r="F10" s="3">
        <v>2300</v>
      </c>
      <c r="G10" s="3" t="s">
        <v>52</v>
      </c>
      <c r="H10" s="7" t="s">
        <v>90</v>
      </c>
      <c r="I10" s="3" t="s">
        <v>124</v>
      </c>
      <c r="J10" s="3" t="s">
        <v>125</v>
      </c>
      <c r="K10" s="3" t="s">
        <v>126</v>
      </c>
    </row>
    <row r="11" spans="1:11" ht="18" customHeight="1" x14ac:dyDescent="0.2">
      <c r="A11" s="3" t="s">
        <v>127</v>
      </c>
      <c r="B11" s="3" t="s">
        <v>128</v>
      </c>
      <c r="C11" s="3" t="s">
        <v>129</v>
      </c>
      <c r="D11" s="23">
        <v>46244</v>
      </c>
      <c r="E11" s="3" t="s">
        <v>50</v>
      </c>
      <c r="F11" s="3">
        <v>11000</v>
      </c>
      <c r="G11" s="3" t="s">
        <v>52</v>
      </c>
      <c r="H11" s="3" t="s">
        <v>53</v>
      </c>
      <c r="I11" s="3" t="s">
        <v>132</v>
      </c>
      <c r="J11" s="3" t="s">
        <v>133</v>
      </c>
      <c r="K11" s="3" t="s">
        <v>134</v>
      </c>
    </row>
    <row r="12" spans="1:11" ht="18" customHeight="1" x14ac:dyDescent="0.2">
      <c r="A12" s="3" t="s">
        <v>135</v>
      </c>
      <c r="B12" s="3" t="s">
        <v>136</v>
      </c>
      <c r="C12" s="3" t="s">
        <v>137</v>
      </c>
      <c r="D12" s="23">
        <v>46245</v>
      </c>
      <c r="E12" s="3" t="s">
        <v>105</v>
      </c>
      <c r="F12" s="3">
        <v>750</v>
      </c>
      <c r="G12" s="3" t="s">
        <v>52</v>
      </c>
      <c r="H12" s="3" t="s">
        <v>140</v>
      </c>
      <c r="I12" s="3" t="s">
        <v>141</v>
      </c>
      <c r="J12" s="3" t="s">
        <v>142</v>
      </c>
      <c r="K12" s="3" t="s">
        <v>143</v>
      </c>
    </row>
    <row r="13" spans="1:11" ht="18" customHeight="1" x14ac:dyDescent="0.2">
      <c r="A13" s="6" t="s">
        <v>144</v>
      </c>
      <c r="B13" s="3" t="s">
        <v>145</v>
      </c>
      <c r="C13" s="3" t="s">
        <v>146</v>
      </c>
      <c r="D13" s="23">
        <v>46246</v>
      </c>
      <c r="E13" s="3" t="s">
        <v>50</v>
      </c>
      <c r="F13" s="27" t="s">
        <v>148</v>
      </c>
      <c r="G13" s="3" t="s">
        <v>52</v>
      </c>
      <c r="H13" s="3" t="s">
        <v>63</v>
      </c>
      <c r="I13" s="3" t="s">
        <v>149</v>
      </c>
      <c r="J13" s="3" t="s">
        <v>150</v>
      </c>
      <c r="K13" s="3" t="s">
        <v>151</v>
      </c>
    </row>
    <row r="14" spans="1:11" ht="18" customHeight="1" x14ac:dyDescent="0.2">
      <c r="A14" s="3" t="s">
        <v>67</v>
      </c>
      <c r="B14" s="3" t="s">
        <v>68</v>
      </c>
      <c r="C14" s="3" t="s">
        <v>69</v>
      </c>
      <c r="D14" s="3" t="s">
        <v>70</v>
      </c>
      <c r="E14" s="3" t="s">
        <v>71</v>
      </c>
      <c r="F14" s="3">
        <v>22000</v>
      </c>
      <c r="G14" s="3" t="s">
        <v>52</v>
      </c>
      <c r="H14" s="3"/>
      <c r="I14" s="3" t="s">
        <v>73</v>
      </c>
      <c r="J14" s="3" t="s">
        <v>152</v>
      </c>
      <c r="K14" s="3" t="s">
        <v>75</v>
      </c>
    </row>
    <row r="15" spans="1:11" ht="18" customHeight="1" x14ac:dyDescent="0.2">
      <c r="A15" s="9" t="s">
        <v>153</v>
      </c>
      <c r="B15" s="8" t="s">
        <v>154</v>
      </c>
      <c r="C15" s="8" t="s">
        <v>155</v>
      </c>
      <c r="D15" s="24">
        <v>46248</v>
      </c>
      <c r="E15" s="8" t="s">
        <v>80</v>
      </c>
      <c r="F15" s="8">
        <v>4200</v>
      </c>
      <c r="G15" s="8" t="s">
        <v>52</v>
      </c>
      <c r="H15" s="7" t="s">
        <v>107</v>
      </c>
      <c r="I15" s="8" t="s">
        <v>158</v>
      </c>
      <c r="J15" s="8" t="s">
        <v>159</v>
      </c>
      <c r="K15" s="8" t="s">
        <v>160</v>
      </c>
    </row>
    <row r="16" spans="1:11" ht="18" customHeight="1" x14ac:dyDescent="0.2">
      <c r="A16" s="3" t="s">
        <v>161</v>
      </c>
      <c r="B16" s="3" t="s">
        <v>162</v>
      </c>
      <c r="C16" s="3" t="s">
        <v>163</v>
      </c>
      <c r="D16" s="23">
        <v>46249</v>
      </c>
      <c r="E16" s="3" t="s">
        <v>165</v>
      </c>
      <c r="F16" s="3">
        <v>18900</v>
      </c>
      <c r="G16" s="3" t="s">
        <v>52</v>
      </c>
      <c r="H16" s="3" t="s">
        <v>53</v>
      </c>
      <c r="I16" s="3" t="s">
        <v>167</v>
      </c>
      <c r="J16" s="3" t="s">
        <v>168</v>
      </c>
      <c r="K16" s="3" t="s">
        <v>169</v>
      </c>
    </row>
    <row r="17" spans="1:11" ht="18" customHeight="1" x14ac:dyDescent="0.2">
      <c r="A17" s="3" t="s">
        <v>170</v>
      </c>
      <c r="B17" s="3" t="s">
        <v>171</v>
      </c>
      <c r="C17" s="3" t="s">
        <v>172</v>
      </c>
      <c r="D17" s="23">
        <v>46250</v>
      </c>
      <c r="E17" s="3" t="s">
        <v>105</v>
      </c>
      <c r="F17" s="3">
        <v>250</v>
      </c>
      <c r="G17" s="3" t="s">
        <v>52</v>
      </c>
      <c r="H17" s="7"/>
      <c r="I17" s="3" t="s">
        <v>175</v>
      </c>
      <c r="J17" s="3" t="s">
        <v>176</v>
      </c>
      <c r="K17" s="3" t="s">
        <v>177</v>
      </c>
    </row>
    <row r="18" spans="1:11" ht="18" customHeight="1" x14ac:dyDescent="0.2">
      <c r="A18" s="6" t="s">
        <v>178</v>
      </c>
      <c r="B18" s="3" t="s">
        <v>179</v>
      </c>
      <c r="C18" s="3" t="s">
        <v>180</v>
      </c>
      <c r="D18" s="23">
        <v>46251</v>
      </c>
      <c r="E18" s="3" t="s">
        <v>50</v>
      </c>
      <c r="F18" s="3">
        <v>8000</v>
      </c>
      <c r="G18" s="3" t="s">
        <v>52</v>
      </c>
      <c r="H18" s="3" t="s">
        <v>90</v>
      </c>
      <c r="I18" s="3" t="s">
        <v>183</v>
      </c>
      <c r="J18" s="3" t="s">
        <v>184</v>
      </c>
      <c r="K18" s="3" t="s">
        <v>185</v>
      </c>
    </row>
    <row r="19" spans="1:11" ht="18" customHeight="1" x14ac:dyDescent="0.2">
      <c r="A19" s="3" t="s">
        <v>57</v>
      </c>
      <c r="B19" s="3" t="s">
        <v>58</v>
      </c>
      <c r="C19" s="3" t="s">
        <v>59</v>
      </c>
      <c r="D19" s="23">
        <v>46236</v>
      </c>
      <c r="E19" s="3" t="s">
        <v>61</v>
      </c>
      <c r="F19" s="3">
        <v>8500</v>
      </c>
      <c r="G19" s="3" t="s">
        <v>52</v>
      </c>
      <c r="H19" s="3" t="s">
        <v>63</v>
      </c>
      <c r="I19" s="3" t="s">
        <v>64</v>
      </c>
      <c r="J19" s="3" t="s">
        <v>65</v>
      </c>
      <c r="K19" s="3" t="s">
        <v>66</v>
      </c>
    </row>
    <row r="20" spans="1:11" ht="18" customHeight="1" x14ac:dyDescent="0.2">
      <c r="A20" s="8" t="s">
        <v>186</v>
      </c>
      <c r="B20" s="8" t="s">
        <v>187</v>
      </c>
      <c r="C20" s="8" t="s">
        <v>188</v>
      </c>
      <c r="D20" s="24">
        <v>46253</v>
      </c>
      <c r="E20" s="8" t="s">
        <v>80</v>
      </c>
      <c r="F20" s="8">
        <v>1050</v>
      </c>
      <c r="G20" s="8" t="s">
        <v>52</v>
      </c>
      <c r="H20" s="8" t="s">
        <v>140</v>
      </c>
      <c r="I20" s="8" t="s">
        <v>191</v>
      </c>
      <c r="J20" s="8" t="s">
        <v>192</v>
      </c>
      <c r="K20" s="8" t="s">
        <v>193</v>
      </c>
    </row>
    <row r="21" spans="1:11" ht="18" customHeight="1" x14ac:dyDescent="0.2">
      <c r="A21" s="3" t="s">
        <v>194</v>
      </c>
      <c r="B21" s="3" t="s">
        <v>195</v>
      </c>
      <c r="C21" s="3" t="s">
        <v>196</v>
      </c>
      <c r="D21" s="23">
        <v>46254</v>
      </c>
      <c r="E21" s="3" t="s">
        <v>50</v>
      </c>
      <c r="F21" s="3">
        <v>30000</v>
      </c>
      <c r="G21" s="3" t="s">
        <v>52</v>
      </c>
      <c r="H21" s="3" t="s">
        <v>63</v>
      </c>
      <c r="I21" s="3" t="s">
        <v>199</v>
      </c>
      <c r="J21" s="3" t="s">
        <v>200</v>
      </c>
      <c r="K21" s="3" t="s">
        <v>201</v>
      </c>
    </row>
    <row r="22" spans="1:11" ht="18" customHeight="1" x14ac:dyDescent="0.2">
      <c r="A22" s="3" t="s">
        <v>202</v>
      </c>
      <c r="B22" s="3" t="s">
        <v>203</v>
      </c>
      <c r="C22" s="3" t="s">
        <v>204</v>
      </c>
      <c r="D22" s="25">
        <v>46255</v>
      </c>
      <c r="E22" s="3" t="s">
        <v>61</v>
      </c>
      <c r="F22" s="3">
        <v>600</v>
      </c>
      <c r="G22" s="3" t="s">
        <v>52</v>
      </c>
      <c r="H22" s="3"/>
      <c r="I22" s="3" t="s">
        <v>207</v>
      </c>
      <c r="J22" s="3" t="s">
        <v>208</v>
      </c>
      <c r="K22" s="3" t="s">
        <v>209</v>
      </c>
    </row>
    <row r="23" spans="1:11" ht="18" customHeight="1" x14ac:dyDescent="0.2">
      <c r="A23" s="3" t="s">
        <v>210</v>
      </c>
      <c r="B23" s="3" t="s">
        <v>211</v>
      </c>
      <c r="C23" s="3" t="s">
        <v>212</v>
      </c>
      <c r="D23" s="23">
        <v>46256</v>
      </c>
      <c r="E23" s="3" t="s">
        <v>71</v>
      </c>
      <c r="F23" s="3">
        <v>5500</v>
      </c>
      <c r="G23" s="3" t="s">
        <v>52</v>
      </c>
      <c r="H23" s="7" t="s">
        <v>53</v>
      </c>
      <c r="I23" s="3" t="s">
        <v>215</v>
      </c>
      <c r="J23" s="3" t="s">
        <v>216</v>
      </c>
      <c r="K23" s="3" t="s">
        <v>217</v>
      </c>
    </row>
    <row r="24" spans="1:11" ht="18" customHeight="1" x14ac:dyDescent="0.2">
      <c r="A24" s="6" t="s">
        <v>218</v>
      </c>
      <c r="B24" s="3" t="s">
        <v>219</v>
      </c>
      <c r="C24" s="3" t="s">
        <v>220</v>
      </c>
      <c r="D24" s="23">
        <v>46257</v>
      </c>
      <c r="E24" s="3" t="s">
        <v>50</v>
      </c>
      <c r="F24" s="3">
        <v>12750</v>
      </c>
      <c r="G24" s="3" t="s">
        <v>52</v>
      </c>
      <c r="H24" s="3" t="s">
        <v>90</v>
      </c>
      <c r="I24" s="3" t="s">
        <v>223</v>
      </c>
      <c r="J24" s="3" t="s">
        <v>224</v>
      </c>
      <c r="K24" s="3" t="s">
        <v>225</v>
      </c>
    </row>
    <row r="25" spans="1:11" ht="18" customHeight="1" x14ac:dyDescent="0.2">
      <c r="A25" s="3" t="s">
        <v>226</v>
      </c>
      <c r="B25" s="3" t="s">
        <v>227</v>
      </c>
      <c r="C25" s="3" t="s">
        <v>228</v>
      </c>
      <c r="D25" s="23">
        <v>46258</v>
      </c>
      <c r="E25" s="3" t="s">
        <v>105</v>
      </c>
      <c r="F25" s="3">
        <v>900</v>
      </c>
      <c r="G25" s="3" t="s">
        <v>52</v>
      </c>
      <c r="H25" s="3" t="s">
        <v>107</v>
      </c>
      <c r="I25" s="3" t="s">
        <v>231</v>
      </c>
      <c r="J25" s="3" t="s">
        <v>232</v>
      </c>
      <c r="K25" s="3" t="s">
        <v>233</v>
      </c>
    </row>
    <row r="26" spans="1:11" ht="18" customHeight="1" x14ac:dyDescent="0.2">
      <c r="A26" s="6" t="s">
        <v>234</v>
      </c>
      <c r="B26" s="3" t="s">
        <v>235</v>
      </c>
      <c r="C26" s="3" t="s">
        <v>236</v>
      </c>
      <c r="D26" s="23">
        <v>46259</v>
      </c>
      <c r="E26" s="3" t="s">
        <v>238</v>
      </c>
      <c r="F26" s="3">
        <v>2100</v>
      </c>
      <c r="G26" s="3" t="s">
        <v>52</v>
      </c>
      <c r="H26" s="7"/>
      <c r="I26" s="3" t="s">
        <v>240</v>
      </c>
      <c r="J26" s="3" t="s">
        <v>241</v>
      </c>
      <c r="K26" s="3" t="s">
        <v>242</v>
      </c>
    </row>
    <row r="27" spans="1:11" ht="18" customHeight="1" x14ac:dyDescent="0.2">
      <c r="A27" s="3" t="s">
        <v>243</v>
      </c>
      <c r="B27" s="3" t="s">
        <v>244</v>
      </c>
      <c r="C27" s="3" t="s">
        <v>245</v>
      </c>
      <c r="D27" s="23">
        <v>46259</v>
      </c>
      <c r="E27" s="3" t="s">
        <v>165</v>
      </c>
      <c r="F27" s="3">
        <v>7200</v>
      </c>
      <c r="G27" s="3" t="s">
        <v>52</v>
      </c>
      <c r="H27" s="3" t="s">
        <v>63</v>
      </c>
      <c r="I27" s="3" t="s">
        <v>247</v>
      </c>
      <c r="J27" s="3" t="s">
        <v>248</v>
      </c>
      <c r="K27" s="3" t="s">
        <v>249</v>
      </c>
    </row>
    <row r="28" spans="1:11" ht="18" customHeight="1" x14ac:dyDescent="0.2">
      <c r="A28" s="3" t="s">
        <v>250</v>
      </c>
      <c r="B28" s="3" t="s">
        <v>251</v>
      </c>
      <c r="C28" s="3" t="s">
        <v>252</v>
      </c>
      <c r="D28" s="23">
        <v>46259</v>
      </c>
      <c r="E28" s="3" t="s">
        <v>105</v>
      </c>
      <c r="F28" s="3">
        <v>350</v>
      </c>
      <c r="G28" s="3" t="s">
        <v>52</v>
      </c>
      <c r="H28" s="3" t="s">
        <v>140</v>
      </c>
      <c r="I28" s="3" t="s">
        <v>254</v>
      </c>
      <c r="J28" s="3" t="s">
        <v>255</v>
      </c>
      <c r="K28" s="3" t="s">
        <v>256</v>
      </c>
    </row>
    <row r="29" spans="1:11" ht="18" customHeight="1" x14ac:dyDescent="0.2">
      <c r="A29" s="3" t="s">
        <v>257</v>
      </c>
      <c r="B29" s="3" t="s">
        <v>258</v>
      </c>
      <c r="C29" s="3" t="s">
        <v>259</v>
      </c>
      <c r="D29" s="23">
        <v>46259</v>
      </c>
      <c r="E29" s="3" t="s">
        <v>50</v>
      </c>
      <c r="F29" s="3">
        <v>25000</v>
      </c>
      <c r="G29" s="3" t="s">
        <v>52</v>
      </c>
      <c r="H29" s="3" t="s">
        <v>53</v>
      </c>
      <c r="I29" s="3" t="s">
        <v>261</v>
      </c>
      <c r="J29" s="3" t="s">
        <v>262</v>
      </c>
      <c r="K29" s="3" t="s">
        <v>263</v>
      </c>
    </row>
    <row r="30" spans="1:11" ht="18" customHeight="1" x14ac:dyDescent="0.2">
      <c r="A30" s="3" t="s">
        <v>264</v>
      </c>
      <c r="B30" s="3" t="s">
        <v>265</v>
      </c>
      <c r="C30" s="3" t="s">
        <v>266</v>
      </c>
      <c r="D30" s="23">
        <v>46259</v>
      </c>
      <c r="E30" s="3" t="s">
        <v>80</v>
      </c>
      <c r="F30" s="3">
        <v>1800</v>
      </c>
      <c r="G30" s="3" t="s">
        <v>52</v>
      </c>
      <c r="H30" s="3" t="s">
        <v>90</v>
      </c>
      <c r="I30" s="3" t="s">
        <v>268</v>
      </c>
      <c r="J30" s="3" t="s">
        <v>269</v>
      </c>
      <c r="K30" s="3" t="s">
        <v>270</v>
      </c>
    </row>
    <row r="31" spans="1:11" ht="18" customHeight="1" x14ac:dyDescent="0.2">
      <c r="A31" s="3" t="s">
        <v>271</v>
      </c>
      <c r="B31" s="3" t="s">
        <v>272</v>
      </c>
      <c r="C31" s="3" t="s">
        <v>273</v>
      </c>
      <c r="D31" s="3" t="s">
        <v>274</v>
      </c>
      <c r="E31" s="3" t="s">
        <v>71</v>
      </c>
      <c r="F31" s="3">
        <v>14000</v>
      </c>
      <c r="G31" s="3" t="s">
        <v>52</v>
      </c>
      <c r="H31" s="3" t="s">
        <v>107</v>
      </c>
      <c r="I31" s="3" t="s">
        <v>276</v>
      </c>
      <c r="J31" s="3" t="s">
        <v>277</v>
      </c>
      <c r="K31" s="3" t="s">
        <v>278</v>
      </c>
    </row>
    <row r="33" spans="1:11" ht="19.5" customHeight="1" x14ac:dyDescent="0.2">
      <c r="A33" s="87" t="s">
        <v>279</v>
      </c>
      <c r="B33" s="87"/>
      <c r="C33" s="87"/>
      <c r="D33" s="87"/>
      <c r="E33" s="87"/>
      <c r="F33" s="87"/>
      <c r="G33" s="87"/>
      <c r="H33" s="87"/>
      <c r="I33" s="87"/>
      <c r="J33" s="87"/>
      <c r="K33" s="87"/>
    </row>
    <row r="37" spans="1:11" x14ac:dyDescent="0.2">
      <c r="D37" s="18"/>
      <c r="F37" t="b">
        <f>ISNUMBER(F4)</f>
        <v>1</v>
      </c>
    </row>
    <row r="38" spans="1:11" x14ac:dyDescent="0.2">
      <c r="D38" s="18">
        <f>DATE(YEAR(D2),MONTH(D2),DAY(D2))</f>
        <v>46235</v>
      </c>
    </row>
    <row r="39" spans="1:11" x14ac:dyDescent="0.2">
      <c r="D39" s="18"/>
    </row>
    <row r="44" spans="1:11" x14ac:dyDescent="0.2">
      <c r="C44" s="16"/>
    </row>
  </sheetData>
  <mergeCells count="1">
    <mergeCell ref="A33:K33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22"/>
  <sheetViews>
    <sheetView showGridLines="0" topLeftCell="A6" zoomScale="140" zoomScaleNormal="140" workbookViewId="0">
      <selection activeCell="C13" sqref="C13"/>
    </sheetView>
  </sheetViews>
  <sheetFormatPr baseColWidth="10" defaultColWidth="8.6640625" defaultRowHeight="15" x14ac:dyDescent="0.2"/>
  <cols>
    <col min="1" max="1" width="4" customWidth="1"/>
    <col min="2" max="2" width="32" customWidth="1"/>
    <col min="3" max="3" width="54" customWidth="1"/>
    <col min="4" max="4" width="50.1640625" customWidth="1"/>
  </cols>
  <sheetData>
    <row r="1" spans="2:4" ht="36" customHeight="1" x14ac:dyDescent="0.2">
      <c r="B1" s="90" t="s">
        <v>0</v>
      </c>
      <c r="C1" s="90"/>
      <c r="D1" s="90"/>
    </row>
    <row r="2" spans="2:4" ht="19.5" customHeight="1" x14ac:dyDescent="0.2">
      <c r="B2" s="91" t="s">
        <v>1</v>
      </c>
      <c r="C2" s="91"/>
      <c r="D2" s="91"/>
    </row>
    <row r="3" spans="2:4" ht="9.75" customHeight="1" x14ac:dyDescent="0.2"/>
    <row r="4" spans="2:4" ht="21.75" customHeight="1" x14ac:dyDescent="0.2">
      <c r="B4" s="88" t="s">
        <v>2</v>
      </c>
      <c r="C4" s="88"/>
      <c r="D4" s="88"/>
    </row>
    <row r="5" spans="2:4" ht="43.5" customHeight="1" x14ac:dyDescent="0.2">
      <c r="B5" s="92" t="s">
        <v>3</v>
      </c>
      <c r="C5" s="92"/>
      <c r="D5" s="92"/>
    </row>
    <row r="6" spans="2:4" ht="7.5" customHeight="1" x14ac:dyDescent="0.2"/>
    <row r="7" spans="2:4" ht="21.75" customHeight="1" x14ac:dyDescent="0.2">
      <c r="B7" s="88" t="s">
        <v>4</v>
      </c>
      <c r="C7" s="88"/>
      <c r="D7" s="88"/>
    </row>
    <row r="8" spans="2:4" x14ac:dyDescent="0.2">
      <c r="B8" s="1" t="s">
        <v>5</v>
      </c>
      <c r="C8" s="1" t="s">
        <v>6</v>
      </c>
      <c r="D8" s="1" t="s">
        <v>7</v>
      </c>
    </row>
    <row r="9" spans="2:4" ht="31.5" customHeight="1" x14ac:dyDescent="0.2">
      <c r="B9" s="2" t="s">
        <v>8</v>
      </c>
      <c r="C9" s="3" t="s">
        <v>9</v>
      </c>
      <c r="D9" s="4" t="s">
        <v>10</v>
      </c>
    </row>
    <row r="10" spans="2:4" ht="31.5" customHeight="1" x14ac:dyDescent="0.2">
      <c r="B10" s="2" t="s">
        <v>11</v>
      </c>
      <c r="C10" s="3" t="s">
        <v>12</v>
      </c>
      <c r="D10" s="4" t="str">
        <f>TRIM(Raw_Data!C2)</f>
        <v>Priya Sharma</v>
      </c>
    </row>
    <row r="11" spans="2:4" ht="31.5" customHeight="1" x14ac:dyDescent="0.2">
      <c r="B11" s="2" t="s">
        <v>13</v>
      </c>
      <c r="C11" s="3" t="s">
        <v>14</v>
      </c>
      <c r="D11" s="4" t="str">
        <f>CLEAN(TRIM(Raw_Data!J2))</f>
        <v>Salary credit for August</v>
      </c>
    </row>
    <row r="12" spans="2:4" ht="31.5" customHeight="1" x14ac:dyDescent="0.2">
      <c r="B12" s="2" t="s">
        <v>15</v>
      </c>
      <c r="C12" s="3" t="s">
        <v>16</v>
      </c>
      <c r="D12" s="4" t="str">
        <f>PROPER(TRIM(Raw_Data!C2))</f>
        <v>Priya Sharma</v>
      </c>
    </row>
    <row r="13" spans="2:4" ht="31.5" customHeight="1" x14ac:dyDescent="0.2">
      <c r="B13" s="2" t="s">
        <v>17</v>
      </c>
      <c r="C13" s="3" t="s">
        <v>18</v>
      </c>
      <c r="D13" s="4" t="s">
        <v>19</v>
      </c>
    </row>
    <row r="14" spans="2:4" ht="31.5" customHeight="1" x14ac:dyDescent="0.2">
      <c r="B14" s="2" t="s">
        <v>20</v>
      </c>
      <c r="C14" s="3" t="s">
        <v>21</v>
      </c>
      <c r="D14" s="4" t="str">
        <f>IF(Raw_Data!H2="","UNKNOWN",Raw_Data!H2)</f>
        <v>BRN-01</v>
      </c>
    </row>
    <row r="15" spans="2:4" ht="31.5" customHeight="1" x14ac:dyDescent="0.2">
      <c r="B15" s="2" t="s">
        <v>22</v>
      </c>
      <c r="C15" s="3" t="s">
        <v>23</v>
      </c>
      <c r="D15" s="4" t="str">
        <f>IF(LEFT(TRIM(Raw_Data!A2),5)="CUST-",UPPER(TRIM(Raw_Data!A2)),"CUST-"&amp;UPPER(TRIM(Raw_Data!A2)))</f>
        <v>CUST-1001</v>
      </c>
    </row>
    <row r="16" spans="2:4" ht="31.5" customHeight="1" x14ac:dyDescent="0.2">
      <c r="B16" s="2" t="s">
        <v>24</v>
      </c>
      <c r="C16" s="3" t="s">
        <v>25</v>
      </c>
      <c r="D16" s="4">
        <f>VALUE(SUBSTITUTE(SUBSTITUTE(TRIM(Raw_Data!F2),"$",""),",",""))</f>
        <v>15000</v>
      </c>
    </row>
    <row r="18" spans="2:4" ht="21.75" customHeight="1" x14ac:dyDescent="0.2">
      <c r="B18" s="88" t="s">
        <v>26</v>
      </c>
      <c r="C18" s="88"/>
      <c r="D18" s="88"/>
    </row>
    <row r="19" spans="2:4" ht="19.5" customHeight="1" x14ac:dyDescent="0.2">
      <c r="B19" s="5" t="s">
        <v>27</v>
      </c>
      <c r="C19" s="89" t="s">
        <v>28</v>
      </c>
      <c r="D19" s="89"/>
    </row>
    <row r="20" spans="2:4" ht="19.5" customHeight="1" x14ac:dyDescent="0.2">
      <c r="B20" s="5" t="s">
        <v>29</v>
      </c>
      <c r="C20" s="89" t="s">
        <v>30</v>
      </c>
      <c r="D20" s="89"/>
    </row>
    <row r="21" spans="2:4" ht="19.5" customHeight="1" x14ac:dyDescent="0.2">
      <c r="B21" s="5" t="s">
        <v>31</v>
      </c>
      <c r="C21" s="89" t="s">
        <v>32</v>
      </c>
      <c r="D21" s="89"/>
    </row>
    <row r="22" spans="2:4" ht="19.5" customHeight="1" x14ac:dyDescent="0.2">
      <c r="B22" s="5" t="s">
        <v>33</v>
      </c>
      <c r="C22" s="89" t="s">
        <v>34</v>
      </c>
      <c r="D22" s="89"/>
    </row>
  </sheetData>
  <mergeCells count="10">
    <mergeCell ref="B1:D1"/>
    <mergeCell ref="B2:D2"/>
    <mergeCell ref="B4:D4"/>
    <mergeCell ref="B5:D5"/>
    <mergeCell ref="B7:D7"/>
    <mergeCell ref="B18:D18"/>
    <mergeCell ref="C19:D19"/>
    <mergeCell ref="C20:D20"/>
    <mergeCell ref="C21:D21"/>
    <mergeCell ref="C22:D2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3"/>
  <sheetViews>
    <sheetView showGridLines="0" zoomScale="130" zoomScaleNormal="130" workbookViewId="0">
      <selection activeCell="D21" sqref="D21"/>
    </sheetView>
  </sheetViews>
  <sheetFormatPr baseColWidth="10" defaultColWidth="8.6640625" defaultRowHeight="15" x14ac:dyDescent="0.2"/>
  <cols>
    <col min="1" max="2" width="18" customWidth="1"/>
    <col min="3" max="3" width="22" customWidth="1"/>
    <col min="4" max="4" width="18" customWidth="1"/>
    <col min="5" max="5" width="20" style="13" customWidth="1"/>
    <col min="6" max="6" width="14" customWidth="1"/>
    <col min="7" max="7" width="10" customWidth="1"/>
    <col min="8" max="8" width="14" customWidth="1"/>
    <col min="9" max="9" width="18" customWidth="1"/>
    <col min="10" max="10" width="38" customWidth="1"/>
    <col min="11" max="11" width="30" customWidth="1"/>
    <col min="13" max="13" width="24" customWidth="1"/>
    <col min="21" max="21" width="13.1640625" customWidth="1"/>
  </cols>
  <sheetData>
    <row r="1" spans="1:21" ht="27.75" customHeight="1" x14ac:dyDescent="0.2">
      <c r="A1" s="11" t="s">
        <v>35</v>
      </c>
      <c r="B1" s="11" t="s">
        <v>36</v>
      </c>
      <c r="C1" s="11" t="s">
        <v>37</v>
      </c>
      <c r="D1" s="11" t="s">
        <v>38</v>
      </c>
      <c r="E1" s="12" t="s">
        <v>39</v>
      </c>
      <c r="F1" s="11" t="s">
        <v>40</v>
      </c>
      <c r="G1" s="11" t="s">
        <v>41</v>
      </c>
      <c r="H1" s="11" t="s">
        <v>42</v>
      </c>
      <c r="I1" s="11" t="s">
        <v>43</v>
      </c>
      <c r="J1" s="11" t="s">
        <v>44</v>
      </c>
      <c r="K1" s="11" t="s">
        <v>45</v>
      </c>
    </row>
    <row r="2" spans="1:21" ht="18" customHeight="1" x14ac:dyDescent="0.2">
      <c r="A2" s="14" t="s">
        <v>46</v>
      </c>
      <c r="B2" s="14" t="s">
        <v>47</v>
      </c>
      <c r="C2" s="14" t="s">
        <v>48</v>
      </c>
      <c r="D2" s="14" t="s">
        <v>49</v>
      </c>
      <c r="E2" s="14" t="s">
        <v>50</v>
      </c>
      <c r="F2" s="14" t="s">
        <v>51</v>
      </c>
      <c r="G2" s="14" t="s">
        <v>52</v>
      </c>
      <c r="H2" s="14" t="s">
        <v>53</v>
      </c>
      <c r="I2" s="14" t="s">
        <v>54</v>
      </c>
      <c r="J2" s="14" t="s">
        <v>55</v>
      </c>
      <c r="K2" s="14" t="s">
        <v>56</v>
      </c>
    </row>
    <row r="3" spans="1:21" ht="18" customHeight="1" x14ac:dyDescent="0.2">
      <c r="A3" s="3" t="s">
        <v>57</v>
      </c>
      <c r="B3" s="3" t="s">
        <v>58</v>
      </c>
      <c r="C3" s="3" t="s">
        <v>59</v>
      </c>
      <c r="D3" s="3" t="s">
        <v>60</v>
      </c>
      <c r="E3" s="3" t="s">
        <v>61</v>
      </c>
      <c r="F3" s="6" t="s">
        <v>62</v>
      </c>
      <c r="G3" s="3" t="s">
        <v>52</v>
      </c>
      <c r="H3" s="3" t="s">
        <v>63</v>
      </c>
      <c r="I3" s="3" t="s">
        <v>64</v>
      </c>
      <c r="J3" s="3" t="s">
        <v>65</v>
      </c>
      <c r="K3" s="3" t="s">
        <v>66</v>
      </c>
      <c r="M3" s="16"/>
    </row>
    <row r="4" spans="1:21" ht="18" customHeight="1" x14ac:dyDescent="0.2">
      <c r="A4" s="15" t="s">
        <v>67</v>
      </c>
      <c r="B4" s="14" t="s">
        <v>68</v>
      </c>
      <c r="C4" s="14" t="s">
        <v>69</v>
      </c>
      <c r="D4" s="14" t="s">
        <v>70</v>
      </c>
      <c r="E4" s="14" t="s">
        <v>71</v>
      </c>
      <c r="F4" s="14" t="s">
        <v>72</v>
      </c>
      <c r="G4" s="14" t="s">
        <v>52</v>
      </c>
      <c r="H4" s="14"/>
      <c r="I4" s="14" t="s">
        <v>73</v>
      </c>
      <c r="J4" s="14" t="s">
        <v>74</v>
      </c>
      <c r="K4" s="14" t="s">
        <v>75</v>
      </c>
      <c r="U4" s="17">
        <v>46235</v>
      </c>
    </row>
    <row r="5" spans="1:21" ht="18" customHeight="1" x14ac:dyDescent="0.2">
      <c r="A5" s="3" t="s">
        <v>76</v>
      </c>
      <c r="B5" s="3" t="s">
        <v>77</v>
      </c>
      <c r="C5" s="3" t="s">
        <v>78</v>
      </c>
      <c r="D5" s="3" t="s">
        <v>79</v>
      </c>
      <c r="E5" s="3" t="s">
        <v>80</v>
      </c>
      <c r="F5" s="3" t="s">
        <v>81</v>
      </c>
      <c r="G5" s="3" t="s">
        <v>52</v>
      </c>
      <c r="H5" s="3" t="s">
        <v>53</v>
      </c>
      <c r="I5" s="3" t="s">
        <v>82</v>
      </c>
      <c r="J5" s="3" t="s">
        <v>83</v>
      </c>
      <c r="K5" s="3" t="s">
        <v>84</v>
      </c>
    </row>
    <row r="6" spans="1:21" ht="18" customHeight="1" x14ac:dyDescent="0.2">
      <c r="A6" s="14" t="s">
        <v>85</v>
      </c>
      <c r="B6" s="14" t="s">
        <v>86</v>
      </c>
      <c r="C6" s="14" t="s">
        <v>87</v>
      </c>
      <c r="D6" s="14" t="s">
        <v>88</v>
      </c>
      <c r="E6" s="14" t="s">
        <v>50</v>
      </c>
      <c r="F6" s="14" t="s">
        <v>89</v>
      </c>
      <c r="G6" s="14" t="s">
        <v>52</v>
      </c>
      <c r="H6" s="14" t="s">
        <v>90</v>
      </c>
      <c r="I6" s="14" t="s">
        <v>73</v>
      </c>
      <c r="J6" s="14" t="s">
        <v>91</v>
      </c>
      <c r="K6" s="14" t="s">
        <v>92</v>
      </c>
      <c r="U6" s="18">
        <v>46266</v>
      </c>
    </row>
    <row r="7" spans="1:21" ht="18" customHeight="1" x14ac:dyDescent="0.2">
      <c r="A7" s="8" t="s">
        <v>93</v>
      </c>
      <c r="B7" s="8" t="s">
        <v>94</v>
      </c>
      <c r="C7" s="8" t="s">
        <v>95</v>
      </c>
      <c r="D7" s="8" t="s">
        <v>96</v>
      </c>
      <c r="E7" s="8" t="s">
        <v>61</v>
      </c>
      <c r="F7" s="9" t="s">
        <v>97</v>
      </c>
      <c r="G7" s="8" t="s">
        <v>52</v>
      </c>
      <c r="H7" s="8" t="s">
        <v>63</v>
      </c>
      <c r="I7" s="8" t="s">
        <v>98</v>
      </c>
      <c r="J7" s="8" t="s">
        <v>99</v>
      </c>
      <c r="K7" s="8" t="s">
        <v>100</v>
      </c>
    </row>
    <row r="8" spans="1:21" ht="18" customHeight="1" x14ac:dyDescent="0.2">
      <c r="A8" s="14" t="s">
        <v>101</v>
      </c>
      <c r="B8" s="14" t="s">
        <v>102</v>
      </c>
      <c r="C8" s="14" t="s">
        <v>103</v>
      </c>
      <c r="D8" s="14" t="s">
        <v>104</v>
      </c>
      <c r="E8" s="14" t="s">
        <v>105</v>
      </c>
      <c r="F8" s="14" t="s">
        <v>106</v>
      </c>
      <c r="G8" s="14" t="s">
        <v>52</v>
      </c>
      <c r="H8" s="14" t="s">
        <v>107</v>
      </c>
      <c r="I8" s="14" t="s">
        <v>108</v>
      </c>
      <c r="J8" s="14" t="s">
        <v>109</v>
      </c>
      <c r="K8" s="14" t="s">
        <v>110</v>
      </c>
    </row>
    <row r="9" spans="1:21" ht="18" customHeight="1" x14ac:dyDescent="0.2">
      <c r="A9" s="3" t="s">
        <v>111</v>
      </c>
      <c r="B9" s="3" t="s">
        <v>112</v>
      </c>
      <c r="C9" s="3" t="s">
        <v>113</v>
      </c>
      <c r="D9" s="3" t="s">
        <v>114</v>
      </c>
      <c r="E9" s="3" t="s">
        <v>50</v>
      </c>
      <c r="F9" s="3" t="s">
        <v>115</v>
      </c>
      <c r="G9" s="3" t="s">
        <v>52</v>
      </c>
      <c r="H9" s="3"/>
      <c r="I9" s="3" t="s">
        <v>116</v>
      </c>
      <c r="J9" s="3" t="s">
        <v>117</v>
      </c>
      <c r="K9" s="3" t="s">
        <v>118</v>
      </c>
    </row>
    <row r="10" spans="1:21" ht="18" customHeight="1" x14ac:dyDescent="0.2">
      <c r="A10" s="14" t="s">
        <v>119</v>
      </c>
      <c r="B10" s="14" t="s">
        <v>120</v>
      </c>
      <c r="C10" s="14" t="s">
        <v>121</v>
      </c>
      <c r="D10" s="14" t="s">
        <v>122</v>
      </c>
      <c r="E10" s="14" t="s">
        <v>80</v>
      </c>
      <c r="F10" s="15" t="s">
        <v>123</v>
      </c>
      <c r="G10" s="14" t="s">
        <v>52</v>
      </c>
      <c r="H10" s="14" t="s">
        <v>90</v>
      </c>
      <c r="I10" s="14" t="s">
        <v>124</v>
      </c>
      <c r="J10" s="14" t="s">
        <v>125</v>
      </c>
      <c r="K10" s="14" t="s">
        <v>126</v>
      </c>
      <c r="U10" s="19">
        <v>46236</v>
      </c>
    </row>
    <row r="11" spans="1:21" ht="18" customHeight="1" x14ac:dyDescent="0.2">
      <c r="A11" s="3" t="s">
        <v>127</v>
      </c>
      <c r="B11" s="3" t="s">
        <v>128</v>
      </c>
      <c r="C11" s="3" t="s">
        <v>129</v>
      </c>
      <c r="D11" s="3" t="s">
        <v>130</v>
      </c>
      <c r="E11" s="3" t="s">
        <v>50</v>
      </c>
      <c r="F11" s="6" t="s">
        <v>131</v>
      </c>
      <c r="G11" s="3" t="s">
        <v>52</v>
      </c>
      <c r="H11" s="3" t="s">
        <v>53</v>
      </c>
      <c r="I11" s="3" t="s">
        <v>132</v>
      </c>
      <c r="J11" s="3" t="s">
        <v>133</v>
      </c>
      <c r="K11" s="3" t="s">
        <v>134</v>
      </c>
    </row>
    <row r="12" spans="1:21" ht="18" customHeight="1" x14ac:dyDescent="0.2">
      <c r="A12" s="14" t="s">
        <v>135</v>
      </c>
      <c r="B12" s="14" t="s">
        <v>136</v>
      </c>
      <c r="C12" s="14" t="s">
        <v>137</v>
      </c>
      <c r="D12" s="14" t="s">
        <v>138</v>
      </c>
      <c r="E12" s="14" t="s">
        <v>105</v>
      </c>
      <c r="F12" s="14" t="s">
        <v>139</v>
      </c>
      <c r="G12" s="14" t="s">
        <v>52</v>
      </c>
      <c r="H12" s="14" t="s">
        <v>140</v>
      </c>
      <c r="I12" s="14" t="s">
        <v>141</v>
      </c>
      <c r="J12" s="14" t="s">
        <v>142</v>
      </c>
      <c r="K12" s="14" t="s">
        <v>143</v>
      </c>
    </row>
    <row r="13" spans="1:21" ht="18" customHeight="1" x14ac:dyDescent="0.2">
      <c r="A13" s="6" t="s">
        <v>144</v>
      </c>
      <c r="B13" s="3" t="s">
        <v>145</v>
      </c>
      <c r="C13" s="3" t="s">
        <v>146</v>
      </c>
      <c r="D13" s="3" t="s">
        <v>147</v>
      </c>
      <c r="E13" s="3" t="s">
        <v>50</v>
      </c>
      <c r="F13" s="3" t="s">
        <v>148</v>
      </c>
      <c r="G13" s="3" t="s">
        <v>52</v>
      </c>
      <c r="H13" s="3" t="s">
        <v>63</v>
      </c>
      <c r="I13" s="3" t="s">
        <v>149</v>
      </c>
      <c r="J13" s="3" t="s">
        <v>150</v>
      </c>
      <c r="K13" s="3" t="s">
        <v>151</v>
      </c>
    </row>
    <row r="14" spans="1:21" ht="18" customHeight="1" x14ac:dyDescent="0.2">
      <c r="A14" s="14" t="s">
        <v>67</v>
      </c>
      <c r="B14" s="14" t="s">
        <v>68</v>
      </c>
      <c r="C14" s="14" t="s">
        <v>69</v>
      </c>
      <c r="D14" s="14" t="s">
        <v>70</v>
      </c>
      <c r="E14" s="14" t="s">
        <v>71</v>
      </c>
      <c r="F14" s="15" t="s">
        <v>72</v>
      </c>
      <c r="G14" s="14" t="s">
        <v>52</v>
      </c>
      <c r="H14" s="14"/>
      <c r="I14" s="14" t="s">
        <v>73</v>
      </c>
      <c r="J14" s="14" t="s">
        <v>152</v>
      </c>
      <c r="K14" s="14" t="s">
        <v>75</v>
      </c>
    </row>
    <row r="15" spans="1:21" ht="18" customHeight="1" x14ac:dyDescent="0.2">
      <c r="A15" s="9" t="s">
        <v>153</v>
      </c>
      <c r="B15" s="8" t="s">
        <v>154</v>
      </c>
      <c r="C15" s="8" t="s">
        <v>155</v>
      </c>
      <c r="D15" s="8" t="s">
        <v>156</v>
      </c>
      <c r="E15" s="8" t="s">
        <v>80</v>
      </c>
      <c r="F15" s="8" t="s">
        <v>157</v>
      </c>
      <c r="G15" s="8" t="s">
        <v>52</v>
      </c>
      <c r="H15" s="7" t="s">
        <v>107</v>
      </c>
      <c r="I15" s="8" t="s">
        <v>158</v>
      </c>
      <c r="J15" s="8" t="s">
        <v>159</v>
      </c>
      <c r="K15" s="8" t="s">
        <v>160</v>
      </c>
    </row>
    <row r="16" spans="1:21" ht="18" customHeight="1" x14ac:dyDescent="0.2">
      <c r="A16" s="14" t="s">
        <v>161</v>
      </c>
      <c r="B16" s="14" t="s">
        <v>162</v>
      </c>
      <c r="C16" s="14" t="s">
        <v>163</v>
      </c>
      <c r="D16" s="14" t="s">
        <v>164</v>
      </c>
      <c r="E16" s="14" t="s">
        <v>165</v>
      </c>
      <c r="F16" s="15" t="s">
        <v>166</v>
      </c>
      <c r="G16" s="14" t="s">
        <v>52</v>
      </c>
      <c r="H16" s="14" t="s">
        <v>53</v>
      </c>
      <c r="I16" s="14" t="s">
        <v>167</v>
      </c>
      <c r="J16" s="14" t="s">
        <v>168</v>
      </c>
      <c r="K16" s="14" t="s">
        <v>169</v>
      </c>
    </row>
    <row r="17" spans="1:11" ht="18" customHeight="1" x14ac:dyDescent="0.2">
      <c r="A17" s="3" t="s">
        <v>170</v>
      </c>
      <c r="B17" s="3" t="s">
        <v>171</v>
      </c>
      <c r="C17" s="3" t="s">
        <v>172</v>
      </c>
      <c r="D17" s="3" t="s">
        <v>173</v>
      </c>
      <c r="E17" s="3" t="s">
        <v>105</v>
      </c>
      <c r="F17" s="3" t="s">
        <v>174</v>
      </c>
      <c r="G17" s="3" t="s">
        <v>52</v>
      </c>
      <c r="H17" s="7"/>
      <c r="I17" s="3" t="s">
        <v>175</v>
      </c>
      <c r="J17" s="3" t="s">
        <v>176</v>
      </c>
      <c r="K17" s="3" t="s">
        <v>177</v>
      </c>
    </row>
    <row r="18" spans="1:11" ht="18" customHeight="1" x14ac:dyDescent="0.2">
      <c r="A18" s="15" t="s">
        <v>178</v>
      </c>
      <c r="B18" s="14" t="s">
        <v>179</v>
      </c>
      <c r="C18" s="14" t="s">
        <v>180</v>
      </c>
      <c r="D18" s="14" t="s">
        <v>181</v>
      </c>
      <c r="E18" s="14" t="s">
        <v>50</v>
      </c>
      <c r="F18" s="14" t="s">
        <v>182</v>
      </c>
      <c r="G18" s="14" t="s">
        <v>52</v>
      </c>
      <c r="H18" s="14" t="s">
        <v>90</v>
      </c>
      <c r="I18" s="14" t="s">
        <v>183</v>
      </c>
      <c r="J18" s="14" t="s">
        <v>184</v>
      </c>
      <c r="K18" s="14" t="s">
        <v>185</v>
      </c>
    </row>
    <row r="19" spans="1:11" ht="18" customHeight="1" x14ac:dyDescent="0.2">
      <c r="A19" s="3" t="s">
        <v>57</v>
      </c>
      <c r="B19" s="3" t="s">
        <v>58</v>
      </c>
      <c r="C19" s="3" t="s">
        <v>59</v>
      </c>
      <c r="D19" s="3" t="s">
        <v>60</v>
      </c>
      <c r="E19" s="3" t="s">
        <v>61</v>
      </c>
      <c r="F19" s="3" t="s">
        <v>62</v>
      </c>
      <c r="G19" s="3" t="s">
        <v>52</v>
      </c>
      <c r="H19" s="3" t="s">
        <v>63</v>
      </c>
      <c r="I19" s="3" t="s">
        <v>64</v>
      </c>
      <c r="J19" s="3" t="s">
        <v>65</v>
      </c>
      <c r="K19" s="3" t="s">
        <v>66</v>
      </c>
    </row>
    <row r="20" spans="1:11" ht="18" customHeight="1" x14ac:dyDescent="0.2">
      <c r="A20" s="14" t="s">
        <v>186</v>
      </c>
      <c r="B20" s="14" t="s">
        <v>187</v>
      </c>
      <c r="C20" s="14" t="s">
        <v>188</v>
      </c>
      <c r="D20" s="14" t="s">
        <v>189</v>
      </c>
      <c r="E20" s="14" t="s">
        <v>80</v>
      </c>
      <c r="F20" s="15" t="s">
        <v>190</v>
      </c>
      <c r="G20" s="14" t="s">
        <v>52</v>
      </c>
      <c r="H20" s="14" t="s">
        <v>140</v>
      </c>
      <c r="I20" s="14" t="s">
        <v>191</v>
      </c>
      <c r="J20" s="14" t="s">
        <v>192</v>
      </c>
      <c r="K20" s="14" t="s">
        <v>193</v>
      </c>
    </row>
    <row r="21" spans="1:11" ht="18" customHeight="1" x14ac:dyDescent="0.2">
      <c r="A21" s="3" t="s">
        <v>194</v>
      </c>
      <c r="B21" s="3" t="s">
        <v>195</v>
      </c>
      <c r="C21" s="3" t="s">
        <v>196</v>
      </c>
      <c r="D21" s="3" t="s">
        <v>197</v>
      </c>
      <c r="E21" s="3" t="s">
        <v>50</v>
      </c>
      <c r="F21" s="3" t="s">
        <v>198</v>
      </c>
      <c r="G21" s="3" t="s">
        <v>52</v>
      </c>
      <c r="H21" s="3" t="s">
        <v>63</v>
      </c>
      <c r="I21" s="3" t="s">
        <v>199</v>
      </c>
      <c r="J21" s="3" t="s">
        <v>200</v>
      </c>
      <c r="K21" s="3" t="s">
        <v>201</v>
      </c>
    </row>
    <row r="22" spans="1:11" ht="18" customHeight="1" x14ac:dyDescent="0.2">
      <c r="A22" s="14" t="s">
        <v>202</v>
      </c>
      <c r="B22" s="14" t="s">
        <v>203</v>
      </c>
      <c r="C22" s="14" t="s">
        <v>204</v>
      </c>
      <c r="D22" s="14" t="s">
        <v>205</v>
      </c>
      <c r="E22" s="14" t="s">
        <v>61</v>
      </c>
      <c r="F22" s="15" t="s">
        <v>206</v>
      </c>
      <c r="G22" s="14" t="s">
        <v>52</v>
      </c>
      <c r="H22" s="14"/>
      <c r="I22" s="14" t="s">
        <v>207</v>
      </c>
      <c r="J22" s="14" t="s">
        <v>208</v>
      </c>
      <c r="K22" s="14" t="s">
        <v>209</v>
      </c>
    </row>
    <row r="23" spans="1:11" ht="18" customHeight="1" x14ac:dyDescent="0.2">
      <c r="A23" s="3" t="s">
        <v>210</v>
      </c>
      <c r="B23" s="3" t="s">
        <v>211</v>
      </c>
      <c r="C23" s="3" t="s">
        <v>212</v>
      </c>
      <c r="D23" s="3" t="s">
        <v>213</v>
      </c>
      <c r="E23" s="3" t="s">
        <v>71</v>
      </c>
      <c r="F23" s="3" t="s">
        <v>214</v>
      </c>
      <c r="G23" s="3" t="s">
        <v>52</v>
      </c>
      <c r="H23" s="7" t="s">
        <v>53</v>
      </c>
      <c r="I23" s="3" t="s">
        <v>215</v>
      </c>
      <c r="J23" s="3" t="s">
        <v>216</v>
      </c>
      <c r="K23" s="3" t="s">
        <v>217</v>
      </c>
    </row>
    <row r="24" spans="1:11" ht="18" customHeight="1" x14ac:dyDescent="0.2">
      <c r="A24" s="15" t="s">
        <v>218</v>
      </c>
      <c r="B24" s="14" t="s">
        <v>219</v>
      </c>
      <c r="C24" s="14" t="s">
        <v>220</v>
      </c>
      <c r="D24" s="14" t="s">
        <v>221</v>
      </c>
      <c r="E24" s="14" t="s">
        <v>50</v>
      </c>
      <c r="F24" s="14" t="s">
        <v>222</v>
      </c>
      <c r="G24" s="14" t="s">
        <v>52</v>
      </c>
      <c r="H24" s="14" t="s">
        <v>90</v>
      </c>
      <c r="I24" s="14" t="s">
        <v>223</v>
      </c>
      <c r="J24" s="14" t="s">
        <v>224</v>
      </c>
      <c r="K24" s="14" t="s">
        <v>225</v>
      </c>
    </row>
    <row r="25" spans="1:11" ht="18" customHeight="1" x14ac:dyDescent="0.2">
      <c r="A25" s="3" t="s">
        <v>226</v>
      </c>
      <c r="B25" s="3" t="s">
        <v>227</v>
      </c>
      <c r="C25" s="3" t="s">
        <v>228</v>
      </c>
      <c r="D25" s="3" t="s">
        <v>229</v>
      </c>
      <c r="E25" s="3" t="s">
        <v>105</v>
      </c>
      <c r="F25" s="3" t="s">
        <v>230</v>
      </c>
      <c r="G25" s="3" t="s">
        <v>52</v>
      </c>
      <c r="H25" s="3" t="s">
        <v>107</v>
      </c>
      <c r="I25" s="3" t="s">
        <v>231</v>
      </c>
      <c r="J25" s="3" t="s">
        <v>232</v>
      </c>
      <c r="K25" s="3" t="s">
        <v>233</v>
      </c>
    </row>
    <row r="26" spans="1:11" ht="18" customHeight="1" x14ac:dyDescent="0.2">
      <c r="A26" s="15" t="s">
        <v>234</v>
      </c>
      <c r="B26" s="14" t="s">
        <v>235</v>
      </c>
      <c r="C26" s="14" t="s">
        <v>236</v>
      </c>
      <c r="D26" s="14" t="s">
        <v>237</v>
      </c>
      <c r="E26" s="14" t="s">
        <v>238</v>
      </c>
      <c r="F26" s="14" t="s">
        <v>239</v>
      </c>
      <c r="G26" s="14" t="s">
        <v>52</v>
      </c>
      <c r="H26" s="14"/>
      <c r="I26" s="14" t="s">
        <v>240</v>
      </c>
      <c r="J26" s="14" t="s">
        <v>241</v>
      </c>
      <c r="K26" s="14" t="s">
        <v>242</v>
      </c>
    </row>
    <row r="27" spans="1:11" ht="18" customHeight="1" x14ac:dyDescent="0.2">
      <c r="A27" s="3" t="s">
        <v>243</v>
      </c>
      <c r="B27" s="3" t="s">
        <v>244</v>
      </c>
      <c r="C27" s="3" t="s">
        <v>245</v>
      </c>
      <c r="D27" s="3" t="s">
        <v>237</v>
      </c>
      <c r="E27" s="3" t="s">
        <v>165</v>
      </c>
      <c r="F27" s="6" t="s">
        <v>246</v>
      </c>
      <c r="G27" s="3" t="s">
        <v>52</v>
      </c>
      <c r="H27" s="3" t="s">
        <v>63</v>
      </c>
      <c r="I27" s="3" t="s">
        <v>247</v>
      </c>
      <c r="J27" s="3" t="s">
        <v>248</v>
      </c>
      <c r="K27" s="3" t="s">
        <v>249</v>
      </c>
    </row>
    <row r="28" spans="1:11" ht="18" customHeight="1" x14ac:dyDescent="0.2">
      <c r="A28" s="14" t="s">
        <v>250</v>
      </c>
      <c r="B28" s="14" t="s">
        <v>251</v>
      </c>
      <c r="C28" s="14" t="s">
        <v>252</v>
      </c>
      <c r="D28" s="14" t="s">
        <v>237</v>
      </c>
      <c r="E28" s="14" t="s">
        <v>105</v>
      </c>
      <c r="F28" s="15" t="s">
        <v>253</v>
      </c>
      <c r="G28" s="14" t="s">
        <v>52</v>
      </c>
      <c r="H28" s="14" t="s">
        <v>140</v>
      </c>
      <c r="I28" s="14" t="s">
        <v>254</v>
      </c>
      <c r="J28" s="14" t="s">
        <v>255</v>
      </c>
      <c r="K28" s="14" t="s">
        <v>256</v>
      </c>
    </row>
    <row r="29" spans="1:11" ht="18" customHeight="1" x14ac:dyDescent="0.2">
      <c r="A29" s="3" t="s">
        <v>257</v>
      </c>
      <c r="B29" s="3" t="s">
        <v>258</v>
      </c>
      <c r="C29" s="3" t="s">
        <v>259</v>
      </c>
      <c r="D29" s="3" t="s">
        <v>237</v>
      </c>
      <c r="E29" s="3" t="s">
        <v>50</v>
      </c>
      <c r="F29" s="3" t="s">
        <v>260</v>
      </c>
      <c r="G29" s="3" t="s">
        <v>52</v>
      </c>
      <c r="H29" s="3" t="s">
        <v>53</v>
      </c>
      <c r="I29" s="3" t="s">
        <v>261</v>
      </c>
      <c r="J29" s="3" t="s">
        <v>262</v>
      </c>
      <c r="K29" s="3" t="s">
        <v>263</v>
      </c>
    </row>
    <row r="30" spans="1:11" ht="18" customHeight="1" x14ac:dyDescent="0.2">
      <c r="A30" s="14" t="s">
        <v>264</v>
      </c>
      <c r="B30" s="14" t="s">
        <v>265</v>
      </c>
      <c r="C30" s="14" t="s">
        <v>266</v>
      </c>
      <c r="D30" s="14" t="s">
        <v>237</v>
      </c>
      <c r="E30" s="14" t="s">
        <v>80</v>
      </c>
      <c r="F30" s="14" t="s">
        <v>267</v>
      </c>
      <c r="G30" s="14" t="s">
        <v>52</v>
      </c>
      <c r="H30" s="14" t="s">
        <v>90</v>
      </c>
      <c r="I30" s="14" t="s">
        <v>268</v>
      </c>
      <c r="J30" s="14" t="s">
        <v>269</v>
      </c>
      <c r="K30" s="14" t="s">
        <v>270</v>
      </c>
    </row>
    <row r="31" spans="1:11" ht="18" customHeight="1" x14ac:dyDescent="0.2">
      <c r="A31" s="3" t="s">
        <v>271</v>
      </c>
      <c r="B31" s="3" t="s">
        <v>272</v>
      </c>
      <c r="C31" s="3" t="s">
        <v>273</v>
      </c>
      <c r="D31" s="3" t="s">
        <v>274</v>
      </c>
      <c r="E31" s="3" t="s">
        <v>71</v>
      </c>
      <c r="F31" s="3" t="s">
        <v>275</v>
      </c>
      <c r="G31" s="3" t="s">
        <v>52</v>
      </c>
      <c r="H31" s="3" t="s">
        <v>107</v>
      </c>
      <c r="I31" s="3" t="s">
        <v>276</v>
      </c>
      <c r="J31" s="3" t="s">
        <v>277</v>
      </c>
      <c r="K31" s="3" t="s">
        <v>278</v>
      </c>
    </row>
    <row r="33" spans="1:11" ht="19.5" customHeight="1" x14ac:dyDescent="0.2">
      <c r="A33" s="87" t="s">
        <v>279</v>
      </c>
      <c r="B33" s="87"/>
      <c r="C33" s="87"/>
      <c r="D33" s="87"/>
      <c r="E33" s="87"/>
      <c r="F33" s="87"/>
      <c r="G33" s="87"/>
      <c r="H33" s="87"/>
      <c r="I33" s="87"/>
      <c r="J33" s="87"/>
      <c r="K33" s="87"/>
    </row>
  </sheetData>
  <mergeCells count="1">
    <mergeCell ref="A33:K3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3"/>
  <sheetViews>
    <sheetView showGridLines="0" zoomScaleNormal="100" workbookViewId="0">
      <pane ySplit="1" topLeftCell="A9" activePane="bottomLeft" state="frozen"/>
      <selection pane="bottomLeft" activeCell="L11" sqref="L11"/>
    </sheetView>
  </sheetViews>
  <sheetFormatPr baseColWidth="10" defaultColWidth="8.6640625" defaultRowHeight="15" x14ac:dyDescent="0.2"/>
  <cols>
    <col min="1" max="1" width="22" customWidth="1"/>
    <col min="2" max="2" width="18" customWidth="1"/>
    <col min="3" max="3" width="24" customWidth="1"/>
    <col min="4" max="4" width="18" customWidth="1"/>
    <col min="5" max="5" width="15.5" customWidth="1"/>
    <col min="6" max="6" width="14" customWidth="1"/>
    <col min="7" max="7" width="10" customWidth="1"/>
    <col min="8" max="9" width="18" customWidth="1"/>
    <col min="10" max="10" width="25.83203125" customWidth="1"/>
    <col min="11" max="11" width="15.6640625" customWidth="1"/>
  </cols>
  <sheetData>
    <row r="1" spans="1:11" ht="27.75" customHeight="1" x14ac:dyDescent="0.2">
      <c r="A1" s="1" t="s">
        <v>280</v>
      </c>
      <c r="B1" s="1" t="s">
        <v>36</v>
      </c>
      <c r="C1" s="1" t="s">
        <v>281</v>
      </c>
      <c r="D1" s="1" t="s">
        <v>38</v>
      </c>
      <c r="E1" s="1" t="s">
        <v>282</v>
      </c>
      <c r="F1" s="1" t="s">
        <v>283</v>
      </c>
      <c r="G1" s="1" t="s">
        <v>41</v>
      </c>
      <c r="H1" s="1" t="s">
        <v>284</v>
      </c>
      <c r="I1" s="1" t="s">
        <v>43</v>
      </c>
      <c r="J1" s="1" t="s">
        <v>285</v>
      </c>
      <c r="K1" s="28" t="s">
        <v>305</v>
      </c>
    </row>
    <row r="2" spans="1:11" ht="30" customHeight="1" x14ac:dyDescent="0.2">
      <c r="A2" s="84" t="s">
        <v>286</v>
      </c>
      <c r="B2" s="84"/>
      <c r="C2" s="84"/>
      <c r="D2" s="84"/>
      <c r="E2" s="84"/>
      <c r="F2" s="84"/>
      <c r="G2" s="84"/>
      <c r="H2" s="84"/>
      <c r="I2" s="84"/>
      <c r="J2" s="84"/>
    </row>
    <row r="3" spans="1:11" ht="18" customHeight="1" x14ac:dyDescent="0.2">
      <c r="A3" s="10" t="str">
        <f>IF(LEFT(TRIM(Raw_Data!A2),5)="CUST-",UPPER(TRIM(Raw_Data!A2)),"CUST-"&amp;UPPER(TRIM(Raw_Data!A2)))</f>
        <v>CUST-1001</v>
      </c>
      <c r="B3" s="10" t="str">
        <f>Raw_Data!B2</f>
        <v>ACC-884521</v>
      </c>
      <c r="C3" s="10" t="str">
        <f>PROPER(TRIM(CLEAN(Raw_Data!C2)))</f>
        <v>Priya Sharma</v>
      </c>
      <c r="D3" s="10" t="str">
        <f>Raw_Data!D2</f>
        <v>2026-08-01</v>
      </c>
      <c r="E3" s="10" t="str">
        <f>PROPER(TRIM(Raw_Data!E2))</f>
        <v>Credit</v>
      </c>
      <c r="F3" s="10">
        <f>IFERROR(VALUE(SUBSTITUTE(SUBSTITUTE(TRIM(Raw_Data!F2),"$",""),",","")),"CHECK")</f>
        <v>15000</v>
      </c>
      <c r="G3" s="10" t="str">
        <f>Raw_Data!G2</f>
        <v>INR</v>
      </c>
      <c r="H3" s="10" t="str">
        <f>IF(TRIM(Raw_Data!H2)="","UNKNOWN",TRIM(Raw_Data!H2))</f>
        <v>BRN-01</v>
      </c>
      <c r="I3" s="10" t="str">
        <f>Raw_Data!I2</f>
        <v>TXN-0001</v>
      </c>
      <c r="J3" s="10" t="str">
        <f>PROPER(TRIM(CLEAN(Raw_Data!J2)))</f>
        <v>Salary Credit For August</v>
      </c>
      <c r="K3" s="20" t="str">
        <f>IF(COUNTIF($J$3:J3,J3)&gt;1,"DUPLICATE","OK")</f>
        <v>OK</v>
      </c>
    </row>
    <row r="4" spans="1:11" ht="18" customHeight="1" x14ac:dyDescent="0.2">
      <c r="A4" s="10" t="str">
        <f>IF(LEFT(TRIM(Raw_Data!A3),5)="CUST-",UPPER(TRIM(Raw_Data!A3)),"CUST-"&amp;UPPER(TRIM(Raw_Data!A3)))</f>
        <v>CUST-1002</v>
      </c>
      <c r="B4" s="10" t="str">
        <f>Raw_Data!B3</f>
        <v>ACC-774832</v>
      </c>
      <c r="C4" s="10" t="str">
        <f>PROPER(TRIM(CLEAN(Raw_Data!C3)))</f>
        <v>Rahul Mehta</v>
      </c>
      <c r="D4" s="10" t="str">
        <f>Raw_Data!D3</f>
        <v>2026-08-02</v>
      </c>
      <c r="E4" s="10" t="str">
        <f>PROPER(TRIM(Raw_Data!E3))</f>
        <v>Debit</v>
      </c>
      <c r="F4" s="10">
        <f>IFERROR(VALUE(SUBSTITUTE(SUBSTITUTE(TRIM(Raw_Data!F3),"$",""),",","")),"CHECK")</f>
        <v>8500</v>
      </c>
      <c r="G4" s="10" t="str">
        <f>Raw_Data!G3</f>
        <v>INR</v>
      </c>
      <c r="H4" s="10" t="str">
        <f>IF(TRIM(Raw_Data!H3)="","UNKNOWN",TRIM(Raw_Data!H3))</f>
        <v>BRN-02</v>
      </c>
      <c r="I4" s="10" t="str">
        <f>Raw_Data!I3</f>
        <v>TXN-0002</v>
      </c>
      <c r="J4" s="21" t="str">
        <f>PROPER(TRIM(CLEAN(Raw_Data!J3)))</f>
        <v>Online Transfer To Vendor</v>
      </c>
      <c r="K4" s="20" t="str">
        <f>IF(COUNTIF($J$3:J4,J4)&gt;1,"DUPLICATE","OK")</f>
        <v>OK</v>
      </c>
    </row>
    <row r="5" spans="1:11" ht="18" customHeight="1" x14ac:dyDescent="0.2">
      <c r="A5" s="10" t="str">
        <f>IF(LEFT(TRIM(Raw_Data!A4),5)="CUST-",UPPER(TRIM(Raw_Data!A4)),"CUST-"&amp;UPPER(TRIM(Raw_Data!A4)))</f>
        <v>CUST-1003</v>
      </c>
      <c r="B5" s="10" t="str">
        <f>Raw_Data!B4</f>
        <v>ACC-663741</v>
      </c>
      <c r="C5" s="10" t="str">
        <f>PROPER(TRIM(CLEAN(Raw_Data!C4)))</f>
        <v>Ananya Iyer</v>
      </c>
      <c r="D5" s="10" t="str">
        <f>Raw_Data!D4</f>
        <v>01/08/2026</v>
      </c>
      <c r="E5" s="10" t="str">
        <f>PROPER(TRIM(Raw_Data!E4))</f>
        <v>Credit</v>
      </c>
      <c r="F5" s="10">
        <f>IFERROR(VALUE(SUBSTITUTE(SUBSTITUTE(TRIM(Raw_Data!F4),"$",""),",","")),"CHECK")</f>
        <v>22000</v>
      </c>
      <c r="G5" s="10" t="str">
        <f>Raw_Data!G4</f>
        <v>INR</v>
      </c>
      <c r="H5" s="10" t="str">
        <f>IF(TRIM(Raw_Data!H4)="","UNKNOWN",TRIM(Raw_Data!H4))</f>
        <v>UNKNOWN</v>
      </c>
      <c r="I5" s="10" t="str">
        <f>Raw_Data!I4</f>
        <v>TXN-0003</v>
      </c>
      <c r="J5" s="10" t="str">
        <f>PROPER(TRIM(CLEAN(Raw_Data!J4)))</f>
        <v>Loan Disbursement [Sys]</v>
      </c>
      <c r="K5" s="20" t="str">
        <f>IF(COUNTIF($J$3:J5,J5)&gt;1,"DUPLICATE","OK")</f>
        <v>OK</v>
      </c>
    </row>
    <row r="6" spans="1:11" ht="18" customHeight="1" x14ac:dyDescent="0.2">
      <c r="A6" s="10" t="str">
        <f>IF(LEFT(TRIM(Raw_Data!A5),5)="CUST-",UPPER(TRIM(Raw_Data!A5)),"CUST-"&amp;UPPER(TRIM(Raw_Data!A5)))</f>
        <v>CUST-1004</v>
      </c>
      <c r="B6" s="10" t="str">
        <f>Raw_Data!B5</f>
        <v>ACC-552630</v>
      </c>
      <c r="C6" s="10" t="str">
        <f>PROPER(TRIM(CLEAN(Raw_Data!C5)))</f>
        <v>Vikram Singh</v>
      </c>
      <c r="D6" s="10" t="str">
        <f>Raw_Data!D5</f>
        <v>2026-08-04</v>
      </c>
      <c r="E6" s="10" t="str">
        <f>PROPER(TRIM(Raw_Data!E5))</f>
        <v>Debit</v>
      </c>
      <c r="F6" s="10">
        <f>IFERROR(VALUE(SUBSTITUTE(SUBSTITUTE(TRIM(Raw_Data!F5),"$",""),",","")),"CHECK")</f>
        <v>3750</v>
      </c>
      <c r="G6" s="10" t="str">
        <f>Raw_Data!G5</f>
        <v>INR</v>
      </c>
      <c r="H6" s="10" t="str">
        <f>IF(TRIM(Raw_Data!H5)="","UNKNOWN",TRIM(Raw_Data!H5))</f>
        <v>BRN-01</v>
      </c>
      <c r="I6" s="10" t="str">
        <f>Raw_Data!I5</f>
        <v>TXN-0004</v>
      </c>
      <c r="J6" s="10" t="str">
        <f>PROPER(TRIM(CLEAN(Raw_Data!J5)))</f>
        <v>Atm Withdrawal</v>
      </c>
      <c r="K6" s="20" t="str">
        <f>IF(COUNTIF($J$3:J6,J6)&gt;1,"DUPLICATE","OK")</f>
        <v>OK</v>
      </c>
    </row>
    <row r="7" spans="1:11" ht="18" customHeight="1" x14ac:dyDescent="0.2">
      <c r="A7" s="10" t="str">
        <f>IF(LEFT(TRIM(Raw_Data!A6),5)="CUST-",UPPER(TRIM(Raw_Data!A6)),"CUST-"&amp;UPPER(TRIM(Raw_Data!A6)))</f>
        <v>CUST-1005</v>
      </c>
      <c r="B7" s="10" t="str">
        <f>Raw_Data!B6</f>
        <v>ACC-441519</v>
      </c>
      <c r="C7" s="10" t="str">
        <f>PROPER(TRIM(CLEAN(Raw_Data!C6)))</f>
        <v>Sneha Nair</v>
      </c>
      <c r="D7" s="10" t="str">
        <f>Raw_Data!D6</f>
        <v>2026-08-05</v>
      </c>
      <c r="E7" s="10" t="str">
        <f>PROPER(TRIM(Raw_Data!E6))</f>
        <v>Credit</v>
      </c>
      <c r="F7" s="10">
        <f>IFERROR(VALUE(SUBSTITUTE(SUBSTITUTE(TRIM(Raw_Data!F6),"$",""),",","")),"CHECK")</f>
        <v>9800</v>
      </c>
      <c r="G7" s="10" t="str">
        <f>Raw_Data!G6</f>
        <v>INR</v>
      </c>
      <c r="H7" s="10" t="str">
        <f>IF(TRIM(Raw_Data!H6)="","UNKNOWN",TRIM(Raw_Data!H6))</f>
        <v>BRN-03</v>
      </c>
      <c r="I7" s="10" t="str">
        <f>Raw_Data!I6</f>
        <v>TXN-0003</v>
      </c>
      <c r="J7" s="10" t="str">
        <f>PROPER(TRIM(CLEAN(Raw_Data!J6)))</f>
        <v>Freelance Payment Received</v>
      </c>
      <c r="K7" s="20" t="str">
        <f>IF(COUNTIF($J$3:J7,J7)&gt;1,"DUPLICATE","OK")</f>
        <v>OK</v>
      </c>
    </row>
    <row r="8" spans="1:11" ht="18" customHeight="1" x14ac:dyDescent="0.2">
      <c r="A8" s="10" t="str">
        <f>IF(LEFT(TRIM(Raw_Data!A7),5)="CUST-",UPPER(TRIM(Raw_Data!A7)),"CUST-"&amp;UPPER(TRIM(Raw_Data!A7)))</f>
        <v>CUST-CUST -1006</v>
      </c>
      <c r="B8" s="10" t="str">
        <f>Raw_Data!B7</f>
        <v>ACC-330408</v>
      </c>
      <c r="C8" s="10" t="str">
        <f>PROPER(TRIM(CLEAN(Raw_Data!C7)))</f>
        <v>Amit Patel</v>
      </c>
      <c r="D8" s="10" t="str">
        <f>Raw_Data!D7</f>
        <v>2026-08-06</v>
      </c>
      <c r="E8" s="10" t="str">
        <f>PROPER(TRIM(Raw_Data!E7))</f>
        <v>Debit</v>
      </c>
      <c r="F8" s="10">
        <f>IFERROR(VALUE(SUBSTITUTE(SUBSTITUTE(TRIM(Raw_Data!F7),"$",""),",","")),"CHECK")</f>
        <v>1200.5</v>
      </c>
      <c r="G8" s="10" t="str">
        <f>Raw_Data!G7</f>
        <v>INR</v>
      </c>
      <c r="H8" s="10" t="str">
        <f>IF(TRIM(Raw_Data!H7)="","UNKNOWN",TRIM(Raw_Data!H7))</f>
        <v>BRN-02</v>
      </c>
      <c r="I8" s="10" t="str">
        <f>Raw_Data!I7</f>
        <v>TXN-0006</v>
      </c>
      <c r="J8" s="10" t="str">
        <f>PROPER(TRIM(CLEAN(Raw_Data!J7)))</f>
        <v>Utility Bill Payment</v>
      </c>
      <c r="K8" s="20" t="str">
        <f>IF(COUNTIF($J$3:J8,J8)&gt;1,"DUPLICATE","OK")</f>
        <v>OK</v>
      </c>
    </row>
    <row r="9" spans="1:11" ht="18" customHeight="1" x14ac:dyDescent="0.2">
      <c r="A9" s="10" t="str">
        <f>IF(LEFT(TRIM(Raw_Data!A8),5)="CUST-",UPPER(TRIM(Raw_Data!A8)),"CUST-"&amp;UPPER(TRIM(Raw_Data!A8)))</f>
        <v>CUST-1007</v>
      </c>
      <c r="B9" s="10" t="str">
        <f>Raw_Data!B8</f>
        <v>ACC-229397</v>
      </c>
      <c r="C9" s="10" t="str">
        <f>PROPER(TRIM(CLEAN(Raw_Data!C8)))</f>
        <v>Ritu Gupta</v>
      </c>
      <c r="D9" s="10" t="str">
        <f>Raw_Data!D8</f>
        <v>2026-08-07</v>
      </c>
      <c r="E9" s="10" t="str">
        <f>PROPER(TRIM(Raw_Data!E8))</f>
        <v>Debit</v>
      </c>
      <c r="F9" s="10">
        <f>IFERROR(VALUE(SUBSTITUTE(SUBSTITUTE(TRIM(Raw_Data!F8),"$",""),",","")),"CHECK")</f>
        <v>500</v>
      </c>
      <c r="G9" s="10" t="str">
        <f>Raw_Data!G8</f>
        <v>INR</v>
      </c>
      <c r="H9" s="10" t="str">
        <f>IF(TRIM(Raw_Data!H8)="","UNKNOWN",TRIM(Raw_Data!H8))</f>
        <v>BRN-04</v>
      </c>
      <c r="I9" s="10" t="str">
        <f>Raw_Data!I8</f>
        <v>TXN-0007</v>
      </c>
      <c r="J9" s="10" t="str">
        <f>PROPER(TRIM(CLEAN(Raw_Data!J8)))</f>
        <v>Coffee Shop Payment</v>
      </c>
      <c r="K9" s="20" t="str">
        <f>IF(COUNTIF($J$3:J9,J9)&gt;1,"DUPLICATE","OK")</f>
        <v>OK</v>
      </c>
    </row>
    <row r="10" spans="1:11" ht="18" customHeight="1" x14ac:dyDescent="0.2">
      <c r="A10" s="10" t="str">
        <f>IF(LEFT(TRIM(Raw_Data!A9),5)="CUST-",UPPER(TRIM(Raw_Data!A9)),"CUST-"&amp;UPPER(TRIM(Raw_Data!A9)))</f>
        <v>CUST-1008</v>
      </c>
      <c r="B10" s="10" t="str">
        <f>Raw_Data!B9</f>
        <v>ACC-118286</v>
      </c>
      <c r="C10" s="10" t="str">
        <f>PROPER(TRIM(CLEAN(Raw_Data!C9)))</f>
        <v>Deepak Verma</v>
      </c>
      <c r="D10" s="10" t="str">
        <f>Raw_Data!D9</f>
        <v>08-Aug-2026</v>
      </c>
      <c r="E10" s="10" t="str">
        <f>PROPER(TRIM(Raw_Data!E9))</f>
        <v>Credit</v>
      </c>
      <c r="F10" s="10">
        <f>IFERROR(VALUE(SUBSTITUTE(SUBSTITUTE(TRIM(Raw_Data!F9),"$",""),",","")),"CHECK")</f>
        <v>45000</v>
      </c>
      <c r="G10" s="10" t="str">
        <f>Raw_Data!G9</f>
        <v>INR</v>
      </c>
      <c r="H10" s="10" t="str">
        <f>IF(TRIM(Raw_Data!H9)="","UNKNOWN",TRIM(Raw_Data!H9))</f>
        <v>UNKNOWN</v>
      </c>
      <c r="I10" s="10" t="str">
        <f>Raw_Data!I9</f>
        <v>TXN-0008</v>
      </c>
      <c r="J10" s="10" t="str">
        <f>PROPER(TRIM(CLEAN(Raw_Data!J9)))</f>
        <v>Property Rent Collected Extra</v>
      </c>
      <c r="K10" s="20" t="str">
        <f>IF(COUNTIF($J$3:J10,J10)&gt;1,"DUPLICATE","OK")</f>
        <v>OK</v>
      </c>
    </row>
    <row r="11" spans="1:11" ht="18" customHeight="1" x14ac:dyDescent="0.2">
      <c r="A11" s="10" t="str">
        <f>IF(LEFT(TRIM(Raw_Data!A10),5)="CUST-",UPPER(TRIM(Raw_Data!A10)),"CUST-"&amp;UPPER(TRIM(Raw_Data!A10)))</f>
        <v>CUST-1009</v>
      </c>
      <c r="B11" s="10" t="str">
        <f>Raw_Data!B10</f>
        <v>ACC-007175</v>
      </c>
      <c r="C11" s="10" t="str">
        <f>PROPER(TRIM(CLEAN(Raw_Data!C10)))</f>
        <v>Meena Krishnan</v>
      </c>
      <c r="D11" s="10" t="str">
        <f>Raw_Data!D10</f>
        <v>2026-08-09</v>
      </c>
      <c r="E11" s="10" t="str">
        <f>PROPER(TRIM(Raw_Data!E10))</f>
        <v>Debit</v>
      </c>
      <c r="F11" s="10">
        <f>IFERROR(VALUE(SUBSTITUTE(SUBSTITUTE(TRIM(Raw_Data!F10),"$",""),",","")),"CHECK")</f>
        <v>2300</v>
      </c>
      <c r="G11" s="10" t="str">
        <f>Raw_Data!G10</f>
        <v>INR</v>
      </c>
      <c r="H11" s="10" t="str">
        <f>IF(TRIM(Raw_Data!H10)="","UNKNOWN",TRIM(Raw_Data!H10))</f>
        <v>BRN-03</v>
      </c>
      <c r="I11" s="10" t="str">
        <f>Raw_Data!I10</f>
        <v>TXN-0009</v>
      </c>
      <c r="J11" s="10" t="str">
        <f>PROPER(TRIM(CLEAN(Raw_Data!J10)))</f>
        <v>Insurance Premium Paid</v>
      </c>
      <c r="K11" s="20" t="str">
        <f>IF(COUNTIF($J$3:J11,J11)&gt;1,"DUPLICATE","OK")</f>
        <v>OK</v>
      </c>
    </row>
    <row r="12" spans="1:11" ht="18" customHeight="1" x14ac:dyDescent="0.2">
      <c r="A12" s="10" t="str">
        <f>IF(LEFT(TRIM(Raw_Data!A11),5)="CUST-",UPPER(TRIM(Raw_Data!A11)),"CUST-"&amp;UPPER(TRIM(Raw_Data!A11)))</f>
        <v>CUST-1010</v>
      </c>
      <c r="B12" s="10" t="str">
        <f>Raw_Data!B11</f>
        <v>ACC-996064</v>
      </c>
      <c r="C12" s="10" t="str">
        <f>PROPER(TRIM(CLEAN(Raw_Data!C11)))</f>
        <v>Arjun Bose</v>
      </c>
      <c r="D12" s="10" t="str">
        <f>Raw_Data!D11</f>
        <v>2026-08-10</v>
      </c>
      <c r="E12" s="10" t="str">
        <f>PROPER(TRIM(Raw_Data!E11))</f>
        <v>Credit</v>
      </c>
      <c r="F12" s="10">
        <f>IFERROR(VALUE(SUBSTITUTE(SUBSTITUTE(TRIM(Raw_Data!F11),"$",""),",","")),"CHECK")</f>
        <v>11000</v>
      </c>
      <c r="G12" s="10" t="str">
        <f>Raw_Data!G11</f>
        <v>INR</v>
      </c>
      <c r="H12" s="10" t="str">
        <f>IF(TRIM(Raw_Data!H11)="","UNKNOWN",TRIM(Raw_Data!H11))</f>
        <v>BRN-01</v>
      </c>
      <c r="I12" s="10" t="str">
        <f>Raw_Data!I11</f>
        <v>TXN-0010</v>
      </c>
      <c r="J12" s="10" t="str">
        <f>PROPER(TRIM(CLEAN(Raw_Data!J11)))</f>
        <v>Dividend Received</v>
      </c>
      <c r="K12" s="20" t="str">
        <f>IF(COUNTIF($J$3:J12,J12)&gt;1,"DUPLICATE","OK")</f>
        <v>OK</v>
      </c>
    </row>
    <row r="13" spans="1:11" ht="18" customHeight="1" x14ac:dyDescent="0.2">
      <c r="A13" s="10" t="str">
        <f>IF(LEFT(TRIM(Raw_Data!A12),5)="CUST-",UPPER(TRIM(Raw_Data!A12)),"CUST-"&amp;UPPER(TRIM(Raw_Data!A12)))</f>
        <v>CUST-1011</v>
      </c>
      <c r="B13" s="10" t="str">
        <f>Raw_Data!B12</f>
        <v>ACC-885953</v>
      </c>
      <c r="C13" s="10" t="str">
        <f>PROPER(TRIM(CLEAN(Raw_Data!C12)))</f>
        <v>Kavya Reddy</v>
      </c>
      <c r="D13" s="10" t="str">
        <f>Raw_Data!D12</f>
        <v>2026-08-11</v>
      </c>
      <c r="E13" s="10" t="str">
        <f>PROPER(TRIM(Raw_Data!E12))</f>
        <v>Debit</v>
      </c>
      <c r="F13" s="10">
        <f>IFERROR(VALUE(SUBSTITUTE(SUBSTITUTE(TRIM(Raw_Data!F12),"$",""),",","")),"CHECK")</f>
        <v>750</v>
      </c>
      <c r="G13" s="10" t="str">
        <f>Raw_Data!G12</f>
        <v>INR</v>
      </c>
      <c r="H13" s="10" t="str">
        <f>IF(TRIM(Raw_Data!H12)="","UNKNOWN",TRIM(Raw_Data!H12))</f>
        <v>BRN-05</v>
      </c>
      <c r="I13" s="10" t="str">
        <f>Raw_Data!I12</f>
        <v>TXN-0011</v>
      </c>
      <c r="J13" s="10" t="str">
        <f>PROPER(TRIM(CLEAN(Raw_Data!J12)))</f>
        <v>Supermarket Purchase</v>
      </c>
      <c r="K13" s="20" t="str">
        <f>IF(COUNTIF($J$3:J13,J13)&gt;1,"DUPLICATE","OK")</f>
        <v>OK</v>
      </c>
    </row>
    <row r="14" spans="1:11" ht="18" customHeight="1" x14ac:dyDescent="0.2">
      <c r="A14" s="10" t="str">
        <f>IF(LEFT(TRIM(Raw_Data!A13),5)="CUST-",UPPER(TRIM(Raw_Data!A13)),"CUST-"&amp;UPPER(TRIM(Raw_Data!A13)))</f>
        <v>CUST-1012</v>
      </c>
      <c r="B14" s="10" t="str">
        <f>Raw_Data!B13</f>
        <v>ACC-774842</v>
      </c>
      <c r="C14" s="10" t="str">
        <f>PROPER(TRIM(CLEAN(Raw_Data!C13)))</f>
        <v>Suresh Pillai</v>
      </c>
      <c r="D14" s="10" t="str">
        <f>Raw_Data!D13</f>
        <v>2026-08-12</v>
      </c>
      <c r="E14" s="10" t="str">
        <f>PROPER(TRIM(Raw_Data!E13))</f>
        <v>Credit</v>
      </c>
      <c r="F14" s="10" t="str">
        <f>IFERROR(VALUE(SUBSTITUTE(SUBSTITUTE(TRIM(Raw_Data!F13),"$",""),",","")),"CHECK")</f>
        <v>CHECK</v>
      </c>
      <c r="G14" s="10" t="str">
        <f>Raw_Data!G13</f>
        <v>INR</v>
      </c>
      <c r="H14" s="10" t="str">
        <f>IF(TRIM(Raw_Data!H13)="","UNKNOWN",TRIM(Raw_Data!H13))</f>
        <v>BRN-02</v>
      </c>
      <c r="I14" s="10" t="str">
        <f>Raw_Data!I13</f>
        <v>TXN-0012</v>
      </c>
      <c r="J14" s="10" t="str">
        <f>PROPER(TRIM(CLEAN(Raw_Data!J13)))</f>
        <v>Pending Credit</v>
      </c>
      <c r="K14" s="20" t="str">
        <f>IF(COUNTIF($J$3:J14,J14)&gt;1,"DUPLICATE","OK")</f>
        <v>OK</v>
      </c>
    </row>
    <row r="15" spans="1:11" ht="18" customHeight="1" x14ac:dyDescent="0.2">
      <c r="A15" s="10" t="str">
        <f>IF(LEFT(TRIM(Raw_Data!A14),5)="CUST-",UPPER(TRIM(Raw_Data!A14)),"CUST-"&amp;UPPER(TRIM(Raw_Data!A14)))</f>
        <v>CUST-1003</v>
      </c>
      <c r="B15" s="10" t="str">
        <f>Raw_Data!B14</f>
        <v>ACC-663741</v>
      </c>
      <c r="C15" s="10" t="str">
        <f>PROPER(TRIM(CLEAN(Raw_Data!C14)))</f>
        <v>Ananya Iyer</v>
      </c>
      <c r="D15" s="10" t="str">
        <f>Raw_Data!D14</f>
        <v>01/08/2026</v>
      </c>
      <c r="E15" s="10" t="str">
        <f>PROPER(TRIM(Raw_Data!E14))</f>
        <v>Credit</v>
      </c>
      <c r="F15" s="10">
        <f>IFERROR(VALUE(SUBSTITUTE(SUBSTITUTE(TRIM(Raw_Data!F14),"$",""),",","")),"CHECK")</f>
        <v>22000</v>
      </c>
      <c r="G15" s="10" t="str">
        <f>Raw_Data!G14</f>
        <v>INR</v>
      </c>
      <c r="H15" s="10" t="str">
        <f>IF(TRIM(Raw_Data!H14)="","UNKNOWN",TRIM(Raw_Data!H14))</f>
        <v>UNKNOWN</v>
      </c>
      <c r="I15" s="10" t="str">
        <f>Raw_Data!I14</f>
        <v>TXN-0003</v>
      </c>
      <c r="J15" s="10" t="str">
        <f>PROPER(TRIM(CLEAN(Raw_Data!J14)))</f>
        <v>Loan Disbursement</v>
      </c>
      <c r="K15" s="20" t="str">
        <f>IF(COUNTIF($J$3:J15,J15)&gt;1,"DUPLICATE","OK")</f>
        <v>OK</v>
      </c>
    </row>
    <row r="16" spans="1:11" ht="18" customHeight="1" x14ac:dyDescent="0.2">
      <c r="A16" s="10" t="str">
        <f>IF(LEFT(TRIM(Raw_Data!A15),5)="CUST-",UPPER(TRIM(Raw_Data!A15)),"CUST-"&amp;UPPER(TRIM(Raw_Data!A15)))</f>
        <v>CUST-1013</v>
      </c>
      <c r="B16" s="10" t="str">
        <f>Raw_Data!B15</f>
        <v>ACC-553731</v>
      </c>
      <c r="C16" s="10" t="str">
        <f>PROPER(TRIM(CLEAN(Raw_Data!C15)))</f>
        <v>Pooja Desai</v>
      </c>
      <c r="D16" s="10" t="str">
        <f>Raw_Data!D15</f>
        <v>2026-08-14</v>
      </c>
      <c r="E16" s="10" t="str">
        <f>PROPER(TRIM(Raw_Data!E15))</f>
        <v>Debit</v>
      </c>
      <c r="F16" s="10">
        <f>IFERROR(VALUE(SUBSTITUTE(SUBSTITUTE(TRIM(Raw_Data!F15),"$",""),",","")),"CHECK")</f>
        <v>4200</v>
      </c>
      <c r="G16" s="10" t="str">
        <f>Raw_Data!G15</f>
        <v>INR</v>
      </c>
      <c r="H16" s="10" t="str">
        <f>IF(TRIM(Raw_Data!H15)="","UNKNOWN",TRIM(Raw_Data!H15))</f>
        <v>BRN-04</v>
      </c>
      <c r="I16" s="10" t="str">
        <f>Raw_Data!I15</f>
        <v>TXN-0013</v>
      </c>
      <c r="J16" s="10" t="str">
        <f>PROPER(TRIM(CLEAN(Raw_Data!J15)))</f>
        <v>Emi Payment</v>
      </c>
      <c r="K16" s="20" t="str">
        <f>IF(COUNTIF($J$3:J16,J16)&gt;1,"DUPLICATE","OK")</f>
        <v>OK</v>
      </c>
    </row>
    <row r="17" spans="1:11" ht="18" customHeight="1" x14ac:dyDescent="0.2">
      <c r="A17" s="10" t="str">
        <f>IF(LEFT(TRIM(Raw_Data!A16),5)="CUST-",UPPER(TRIM(Raw_Data!A16)),"CUST-"&amp;UPPER(TRIM(Raw_Data!A16)))</f>
        <v>CUST-1014</v>
      </c>
      <c r="B17" s="10" t="str">
        <f>Raw_Data!B16</f>
        <v>ACC-442620</v>
      </c>
      <c r="C17" s="10" t="str">
        <f>PROPER(TRIM(CLEAN(Raw_Data!C16)))</f>
        <v>Nikhil Joshi</v>
      </c>
      <c r="D17" s="10" t="str">
        <f>Raw_Data!D16</f>
        <v>2026-08-15</v>
      </c>
      <c r="E17" s="10" t="str">
        <f>PROPER(TRIM(Raw_Data!E16))</f>
        <v>Credit</v>
      </c>
      <c r="F17" s="10">
        <f>IFERROR(VALUE(SUBSTITUTE(SUBSTITUTE(TRIM(Raw_Data!F16),"$",""),",","")),"CHECK")</f>
        <v>18900</v>
      </c>
      <c r="G17" s="10" t="str">
        <f>Raw_Data!G16</f>
        <v>INR</v>
      </c>
      <c r="H17" s="10" t="str">
        <f>IF(TRIM(Raw_Data!H16)="","UNKNOWN",TRIM(Raw_Data!H16))</f>
        <v>BRN-01</v>
      </c>
      <c r="I17" s="10" t="str">
        <f>Raw_Data!I16</f>
        <v>TXN-0014</v>
      </c>
      <c r="J17" s="10" t="str">
        <f>PROPER(TRIM(CLEAN(Raw_Data!J16)))</f>
        <v>Consulting Fees</v>
      </c>
      <c r="K17" s="20" t="str">
        <f>IF(COUNTIF($J$3:J17,J17)&gt;1,"DUPLICATE","OK")</f>
        <v>OK</v>
      </c>
    </row>
    <row r="18" spans="1:11" ht="18" customHeight="1" x14ac:dyDescent="0.2">
      <c r="A18" s="10" t="str">
        <f>IF(LEFT(TRIM(Raw_Data!A17),5)="CUST-",UPPER(TRIM(Raw_Data!A17)),"CUST-"&amp;UPPER(TRIM(Raw_Data!A17)))</f>
        <v>CUST-1015</v>
      </c>
      <c r="B18" s="10" t="str">
        <f>Raw_Data!B17</f>
        <v>ACC-331509</v>
      </c>
      <c r="C18" s="10" t="str">
        <f>PROPER(TRIM(CLEAN(Raw_Data!C17)))</f>
        <v>Preethi Menon</v>
      </c>
      <c r="D18" s="10" t="str">
        <f>Raw_Data!D17</f>
        <v>2026-08-16</v>
      </c>
      <c r="E18" s="10" t="str">
        <f>PROPER(TRIM(Raw_Data!E17))</f>
        <v>Debit</v>
      </c>
      <c r="F18" s="10">
        <f>IFERROR(VALUE(SUBSTITUTE(SUBSTITUTE(TRIM(Raw_Data!F17),"$",""),",","")),"CHECK")</f>
        <v>250</v>
      </c>
      <c r="G18" s="10" t="str">
        <f>Raw_Data!G17</f>
        <v>INR</v>
      </c>
      <c r="H18" s="10" t="str">
        <f>IF(TRIM(Raw_Data!H17)="","UNKNOWN",TRIM(Raw_Data!H17))</f>
        <v>UNKNOWN</v>
      </c>
      <c r="I18" s="10" t="str">
        <f>Raw_Data!I17</f>
        <v>TXN-0015</v>
      </c>
      <c r="J18" s="10" t="str">
        <f>PROPER(TRIM(CLEAN(Raw_Data!J17)))</f>
        <v>Food Delivery</v>
      </c>
      <c r="K18" s="20" t="str">
        <f>IF(COUNTIF($J$3:J18,J18)&gt;1,"DUPLICATE","OK")</f>
        <v>OK</v>
      </c>
    </row>
    <row r="19" spans="1:11" ht="18" customHeight="1" x14ac:dyDescent="0.2">
      <c r="A19" s="10" t="str">
        <f>IF(LEFT(TRIM(Raw_Data!A18),5)="CUST-",UPPER(TRIM(Raw_Data!A18)),"CUST-"&amp;UPPER(TRIM(Raw_Data!A18)))</f>
        <v>CUST-1016</v>
      </c>
      <c r="B19" s="10" t="str">
        <f>Raw_Data!B18</f>
        <v>ACC-220398</v>
      </c>
      <c r="C19" s="10" t="str">
        <f>PROPER(TRIM(CLEAN(Raw_Data!C18)))</f>
        <v>Rohit Kumar</v>
      </c>
      <c r="D19" s="10" t="str">
        <f>Raw_Data!D18</f>
        <v>2026-08-17</v>
      </c>
      <c r="E19" s="10" t="str">
        <f>PROPER(TRIM(Raw_Data!E18))</f>
        <v>Credit</v>
      </c>
      <c r="F19" s="10">
        <f>IFERROR(VALUE(SUBSTITUTE(SUBSTITUTE(TRIM(Raw_Data!F18),"$",""),",","")),"CHECK")</f>
        <v>8000</v>
      </c>
      <c r="G19" s="10" t="str">
        <f>Raw_Data!G18</f>
        <v>INR</v>
      </c>
      <c r="H19" s="10" t="str">
        <f>IF(TRIM(Raw_Data!H18)="","UNKNOWN",TRIM(Raw_Data!H18))</f>
        <v>BRN-03</v>
      </c>
      <c r="I19" s="10" t="str">
        <f>Raw_Data!I18</f>
        <v>TXN-0016</v>
      </c>
      <c r="J19" s="10" t="str">
        <f>PROPER(TRIM(CLEAN(Raw_Data!J18)))</f>
        <v>Part-Time Income</v>
      </c>
      <c r="K19" s="20" t="str">
        <f>IF(COUNTIF($J$3:J19,J19)&gt;1,"DUPLICATE","OK")</f>
        <v>OK</v>
      </c>
    </row>
    <row r="20" spans="1:11" ht="18" customHeight="1" x14ac:dyDescent="0.2">
      <c r="A20" s="10" t="str">
        <f>IF(LEFT(TRIM(Raw_Data!A19),5)="CUST-",UPPER(TRIM(Raw_Data!A19)),"CUST-"&amp;UPPER(TRIM(Raw_Data!A19)))</f>
        <v>CUST-1002</v>
      </c>
      <c r="B20" s="10" t="str">
        <f>Raw_Data!B19</f>
        <v>ACC-774832</v>
      </c>
      <c r="C20" s="10" t="str">
        <f>PROPER(TRIM(CLEAN(Raw_Data!C19)))</f>
        <v>Rahul Mehta</v>
      </c>
      <c r="D20" s="10" t="str">
        <f>Raw_Data!D19</f>
        <v>2026-08-02</v>
      </c>
      <c r="E20" s="10" t="str">
        <f>PROPER(TRIM(Raw_Data!E19))</f>
        <v>Debit</v>
      </c>
      <c r="F20" s="10">
        <f>IFERROR(VALUE(SUBSTITUTE(SUBSTITUTE(TRIM(Raw_Data!F19),"$",""),",","")),"CHECK")</f>
        <v>8500</v>
      </c>
      <c r="G20" s="10" t="str">
        <f>Raw_Data!G19</f>
        <v>INR</v>
      </c>
      <c r="H20" s="10" t="str">
        <f>IF(TRIM(Raw_Data!H19)="","UNKNOWN",TRIM(Raw_Data!H19))</f>
        <v>BRN-02</v>
      </c>
      <c r="I20" s="10" t="str">
        <f>Raw_Data!I19</f>
        <v>TXN-0002</v>
      </c>
      <c r="J20" s="21" t="str">
        <f>PROPER(TRIM(CLEAN(Raw_Data!J19)))</f>
        <v>Online Transfer To Vendor</v>
      </c>
      <c r="K20" s="20" t="str">
        <f>IF(COUNTIF($J$3:J20,J20)&gt;1,"DUPLICATE","OK")</f>
        <v>DUPLICATE</v>
      </c>
    </row>
    <row r="21" spans="1:11" ht="18" customHeight="1" x14ac:dyDescent="0.2">
      <c r="A21" s="10" t="str">
        <f>IF(LEFT(TRIM(Raw_Data!A20),5)="CUST-",UPPER(TRIM(Raw_Data!A20)),"CUST-"&amp;UPPER(TRIM(Raw_Data!A20)))</f>
        <v>CUST-1017</v>
      </c>
      <c r="B21" s="10" t="str">
        <f>Raw_Data!B20</f>
        <v>ACC-119287</v>
      </c>
      <c r="C21" s="10" t="str">
        <f>PROPER(TRIM(CLEAN(Raw_Data!C20)))</f>
        <v>Lakshmi Rao</v>
      </c>
      <c r="D21" s="10" t="str">
        <f>Raw_Data!D20</f>
        <v>2026-08-19</v>
      </c>
      <c r="E21" s="10" t="str">
        <f>PROPER(TRIM(Raw_Data!E20))</f>
        <v>Debit</v>
      </c>
      <c r="F21" s="10">
        <f>IFERROR(VALUE(SUBSTITUTE(SUBSTITUTE(TRIM(Raw_Data!F20),"$",""),",","")),"CHECK")</f>
        <v>1050</v>
      </c>
      <c r="G21" s="10" t="str">
        <f>Raw_Data!G20</f>
        <v>INR</v>
      </c>
      <c r="H21" s="10" t="str">
        <f>IF(TRIM(Raw_Data!H20)="","UNKNOWN",TRIM(Raw_Data!H20))</f>
        <v>BRN-05</v>
      </c>
      <c r="I21" s="10" t="str">
        <f>Raw_Data!I20</f>
        <v>TXN-0017</v>
      </c>
      <c r="J21" s="10" t="str">
        <f>PROPER(TRIM(CLEAN(Raw_Data!J20)))</f>
        <v>Mobile Recharge</v>
      </c>
      <c r="K21" s="20" t="str">
        <f>IF(COUNTIF($J$3:J21,J21)&gt;1,"DUPLICATE","OK")</f>
        <v>OK</v>
      </c>
    </row>
    <row r="22" spans="1:11" ht="18" customHeight="1" x14ac:dyDescent="0.2">
      <c r="A22" s="10" t="str">
        <f>IF(LEFT(TRIM(Raw_Data!A21),5)="CUST-",UPPER(TRIM(Raw_Data!A21)),"CUST-"&amp;UPPER(TRIM(Raw_Data!A21)))</f>
        <v>CUST-1018</v>
      </c>
      <c r="B22" s="10" t="str">
        <f>Raw_Data!B21</f>
        <v>ACC-008176</v>
      </c>
      <c r="C22" s="10" t="str">
        <f>PROPER(TRIM(CLEAN(Raw_Data!C21)))</f>
        <v>Harsh Vardhan</v>
      </c>
      <c r="D22" s="10" t="str">
        <f>Raw_Data!D21</f>
        <v>2026-08-20</v>
      </c>
      <c r="E22" s="10" t="str">
        <f>PROPER(TRIM(Raw_Data!E21))</f>
        <v>Credit</v>
      </c>
      <c r="F22" s="10">
        <f>IFERROR(VALUE(SUBSTITUTE(SUBSTITUTE(TRIM(Raw_Data!F21),"$",""),",","")),"CHECK")</f>
        <v>30000</v>
      </c>
      <c r="G22" s="10" t="str">
        <f>Raw_Data!G21</f>
        <v>INR</v>
      </c>
      <c r="H22" s="10" t="str">
        <f>IF(TRIM(Raw_Data!H21)="","UNKNOWN",TRIM(Raw_Data!H21))</f>
        <v>BRN-02</v>
      </c>
      <c r="I22" s="10" t="str">
        <f>Raw_Data!I21</f>
        <v>TXN-0018</v>
      </c>
      <c r="J22" s="10" t="str">
        <f>PROPER(TRIM(CLEAN(Raw_Data!J21)))</f>
        <v>Quarterly Bonus</v>
      </c>
      <c r="K22" s="20" t="str">
        <f>IF(COUNTIF($J$3:J22,J22)&gt;1,"DUPLICATE","OK")</f>
        <v>OK</v>
      </c>
    </row>
    <row r="23" spans="1:11" ht="18" customHeight="1" x14ac:dyDescent="0.2">
      <c r="A23" s="10" t="str">
        <f>IF(LEFT(TRIM(Raw_Data!A22),5)="CUST-",UPPER(TRIM(Raw_Data!A22)),"CUST-"&amp;UPPER(TRIM(Raw_Data!A22)))</f>
        <v>CUST-1019</v>
      </c>
      <c r="B23" s="10" t="str">
        <f>Raw_Data!B22</f>
        <v>ACC-997065</v>
      </c>
      <c r="C23" s="10" t="str">
        <f>PROPER(TRIM(CLEAN(Raw_Data!C22)))</f>
        <v>Divya Nambiar</v>
      </c>
      <c r="D23" s="10" t="str">
        <f>Raw_Data!D22</f>
        <v>21-Aug-2026</v>
      </c>
      <c r="E23" s="10" t="str">
        <f>PROPER(TRIM(Raw_Data!E22))</f>
        <v>Debit</v>
      </c>
      <c r="F23" s="10">
        <f>IFERROR(VALUE(SUBSTITUTE(SUBSTITUTE(TRIM(Raw_Data!F22),"$",""),",","")),"CHECK")</f>
        <v>600</v>
      </c>
      <c r="G23" s="10" t="str">
        <f>Raw_Data!G22</f>
        <v>INR</v>
      </c>
      <c r="H23" s="10" t="str">
        <f>IF(TRIM(Raw_Data!H22)="","UNKNOWN",TRIM(Raw_Data!H22))</f>
        <v>UNKNOWN</v>
      </c>
      <c r="I23" s="10" t="str">
        <f>Raw_Data!I22</f>
        <v>TXN-0019</v>
      </c>
      <c r="J23" s="10" t="str">
        <f>PROPER(TRIM(CLEAN(Raw_Data!J22)))</f>
        <v>Grocery Shopping</v>
      </c>
      <c r="K23" s="20" t="str">
        <f>IF(COUNTIF($J$3:J23,J23)&gt;1,"DUPLICATE","OK")</f>
        <v>OK</v>
      </c>
    </row>
    <row r="24" spans="1:11" ht="18" customHeight="1" x14ac:dyDescent="0.2">
      <c r="A24" s="10" t="str">
        <f>IF(LEFT(TRIM(Raw_Data!A23),5)="CUST-",UPPER(TRIM(Raw_Data!A23)),"CUST-"&amp;UPPER(TRIM(Raw_Data!A23)))</f>
        <v>CUST-1020</v>
      </c>
      <c r="B24" s="10" t="str">
        <f>Raw_Data!B23</f>
        <v>ACC-886954</v>
      </c>
      <c r="C24" s="10" t="str">
        <f>PROPER(TRIM(CLEAN(Raw_Data!C23)))</f>
        <v>Sanjay Kapoor</v>
      </c>
      <c r="D24" s="10" t="str">
        <f>Raw_Data!D23</f>
        <v>2026-08-22</v>
      </c>
      <c r="E24" s="10" t="str">
        <f>PROPER(TRIM(Raw_Data!E23))</f>
        <v>Credit</v>
      </c>
      <c r="F24" s="10">
        <f>IFERROR(VALUE(SUBSTITUTE(SUBSTITUTE(TRIM(Raw_Data!F23),"$",""),",","")),"CHECK")</f>
        <v>5500</v>
      </c>
      <c r="G24" s="10" t="str">
        <f>Raw_Data!G23</f>
        <v>INR</v>
      </c>
      <c r="H24" s="10" t="str">
        <f>IF(TRIM(Raw_Data!H23)="","UNKNOWN",TRIM(Raw_Data!H23))</f>
        <v>BRN-01</v>
      </c>
      <c r="I24" s="10" t="str">
        <f>Raw_Data!I23</f>
        <v>TXN-0020</v>
      </c>
      <c r="J24" s="10" t="str">
        <f>PROPER(TRIM(CLEAN(Raw_Data!J23)))</f>
        <v>Freelance Invoice</v>
      </c>
      <c r="K24" s="20" t="str">
        <f>IF(COUNTIF($J$3:J24,J24)&gt;1,"DUPLICATE","OK")</f>
        <v>OK</v>
      </c>
    </row>
    <row r="25" spans="1:11" ht="18" customHeight="1" x14ac:dyDescent="0.2">
      <c r="A25" s="10" t="str">
        <f>IF(LEFT(TRIM(Raw_Data!A24),5)="CUST-",UPPER(TRIM(Raw_Data!A24)),"CUST-"&amp;UPPER(TRIM(Raw_Data!A24)))</f>
        <v>CUST-1021</v>
      </c>
      <c r="B25" s="10" t="str">
        <f>Raw_Data!B24</f>
        <v>ACC-775843</v>
      </c>
      <c r="C25" s="10" t="str">
        <f>PROPER(TRIM(CLEAN(Raw_Data!C24)))</f>
        <v>Radha Krishna</v>
      </c>
      <c r="D25" s="10" t="str">
        <f>Raw_Data!D24</f>
        <v>2026-08-23</v>
      </c>
      <c r="E25" s="10" t="str">
        <f>PROPER(TRIM(Raw_Data!E24))</f>
        <v>Credit</v>
      </c>
      <c r="F25" s="10">
        <f>IFERROR(VALUE(SUBSTITUTE(SUBSTITUTE(TRIM(Raw_Data!F24),"$",""),",","")),"CHECK")</f>
        <v>12750</v>
      </c>
      <c r="G25" s="10" t="str">
        <f>Raw_Data!G24</f>
        <v>INR</v>
      </c>
      <c r="H25" s="10" t="str">
        <f>IF(TRIM(Raw_Data!H24)="","UNKNOWN",TRIM(Raw_Data!H24))</f>
        <v>BRN-03</v>
      </c>
      <c r="I25" s="10" t="str">
        <f>Raw_Data!I24</f>
        <v>TXN-0021</v>
      </c>
      <c r="J25" s="10" t="str">
        <f>PROPER(TRIM(CLEAN(Raw_Data!J24)))</f>
        <v>Rental Income</v>
      </c>
      <c r="K25" s="20" t="str">
        <f>IF(COUNTIF($J$3:J25,J25)&gt;1,"DUPLICATE","OK")</f>
        <v>OK</v>
      </c>
    </row>
    <row r="26" spans="1:11" ht="18" customHeight="1" x14ac:dyDescent="0.2">
      <c r="A26" s="10" t="str">
        <f>IF(LEFT(TRIM(Raw_Data!A25),5)="CUST-",UPPER(TRIM(Raw_Data!A25)),"CUST-"&amp;UPPER(TRIM(Raw_Data!A25)))</f>
        <v>CUST-1022</v>
      </c>
      <c r="B26" s="10" t="str">
        <f>Raw_Data!B25</f>
        <v>ACC-664732</v>
      </c>
      <c r="C26" s="10" t="str">
        <f>PROPER(TRIM(CLEAN(Raw_Data!C25)))</f>
        <v>Mohan Lal</v>
      </c>
      <c r="D26" s="10" t="str">
        <f>Raw_Data!D25</f>
        <v>2026-08-24</v>
      </c>
      <c r="E26" s="10" t="str">
        <f>PROPER(TRIM(Raw_Data!E25))</f>
        <v>Debit</v>
      </c>
      <c r="F26" s="10">
        <f>IFERROR(VALUE(SUBSTITUTE(SUBSTITUTE(TRIM(Raw_Data!F25),"$",""),",","")),"CHECK")</f>
        <v>900</v>
      </c>
      <c r="G26" s="10" t="str">
        <f>Raw_Data!G25</f>
        <v>INR</v>
      </c>
      <c r="H26" s="10" t="str">
        <f>IF(TRIM(Raw_Data!H25)="","UNKNOWN",TRIM(Raw_Data!H25))</f>
        <v>BRN-04</v>
      </c>
      <c r="I26" s="10" t="str">
        <f>Raw_Data!I25</f>
        <v>TXN-0022</v>
      </c>
      <c r="J26" s="10" t="str">
        <f>PROPER(TRIM(CLEAN(Raw_Data!J25)))</f>
        <v>Book Purchase</v>
      </c>
      <c r="K26" s="20" t="str">
        <f>IF(COUNTIF($J$3:J26,J26)&gt;1,"DUPLICATE","OK")</f>
        <v>OK</v>
      </c>
    </row>
    <row r="27" spans="1:11" ht="18" customHeight="1" x14ac:dyDescent="0.2">
      <c r="A27" s="10" t="str">
        <f>IF(LEFT(TRIM(Raw_Data!A26),5)="CUST-",UPPER(TRIM(Raw_Data!A26)),"CUST-"&amp;UPPER(TRIM(Raw_Data!A26)))</f>
        <v>CUST-1023</v>
      </c>
      <c r="B27" s="10" t="str">
        <f>Raw_Data!B26</f>
        <v>ACC-553621</v>
      </c>
      <c r="C27" s="10" t="str">
        <f>PROPER(TRIM(CLEAN(Raw_Data!C26)))</f>
        <v>Geeta Pillai</v>
      </c>
      <c r="D27" s="10" t="str">
        <f>Raw_Data!D26</f>
        <v>2026-08-25</v>
      </c>
      <c r="E27" s="10" t="str">
        <f>PROPER(TRIM(Raw_Data!E26))</f>
        <v>Debit</v>
      </c>
      <c r="F27" s="10">
        <f>IFERROR(VALUE(SUBSTITUTE(SUBSTITUTE(TRIM(Raw_Data!F26),"$",""),",","")),"CHECK")</f>
        <v>2100</v>
      </c>
      <c r="G27" s="10" t="str">
        <f>Raw_Data!G26</f>
        <v>INR</v>
      </c>
      <c r="H27" s="10" t="str">
        <f>IF(TRIM(Raw_Data!H26)="","UNKNOWN",TRIM(Raw_Data!H26))</f>
        <v>UNKNOWN</v>
      </c>
      <c r="I27" s="10" t="str">
        <f>Raw_Data!I26</f>
        <v>TXN-0023</v>
      </c>
      <c r="J27" s="10" t="str">
        <f>PROPER(TRIM(CLEAN(Raw_Data!J26)))</f>
        <v>School Fees</v>
      </c>
      <c r="K27" s="20" t="str">
        <f>IF(COUNTIF($J$3:J27,J27)&gt;1,"DUPLICATE","OK")</f>
        <v>OK</v>
      </c>
    </row>
    <row r="28" spans="1:11" ht="18" customHeight="1" x14ac:dyDescent="0.2">
      <c r="A28" s="10" t="str">
        <f>IF(LEFT(TRIM(Raw_Data!A27),5)="CUST-",UPPER(TRIM(Raw_Data!A27)),"CUST-"&amp;UPPER(TRIM(Raw_Data!A27)))</f>
        <v>CUST-CUST -1024</v>
      </c>
      <c r="B28" s="10" t="str">
        <f>Raw_Data!B27</f>
        <v>ACC-442510</v>
      </c>
      <c r="C28" s="10" t="str">
        <f>PROPER(TRIM(CLEAN(Raw_Data!C27)))</f>
        <v>Kiran Bhat</v>
      </c>
      <c r="D28" s="10" t="str">
        <f>Raw_Data!D27</f>
        <v>2026-08-25</v>
      </c>
      <c r="E28" s="10" t="str">
        <f>PROPER(TRIM(Raw_Data!E27))</f>
        <v>Credit</v>
      </c>
      <c r="F28" s="10">
        <f>IFERROR(VALUE(SUBSTITUTE(SUBSTITUTE(TRIM(Raw_Data!F27),"$",""),",","")),"CHECK")</f>
        <v>7200</v>
      </c>
      <c r="G28" s="10" t="str">
        <f>Raw_Data!G27</f>
        <v>INR</v>
      </c>
      <c r="H28" s="10" t="str">
        <f>IF(TRIM(Raw_Data!H27)="","UNKNOWN",TRIM(Raw_Data!H27))</f>
        <v>BRN-02</v>
      </c>
      <c r="I28" s="10" t="str">
        <f>Raw_Data!I27</f>
        <v>TXN-0024</v>
      </c>
      <c r="J28" s="10" t="str">
        <f>PROPER(TRIM(CLEAN(Raw_Data!J27)))</f>
        <v>Dividend Credit</v>
      </c>
      <c r="K28" s="20" t="str">
        <f>IF(COUNTIF($J$3:J28,J28)&gt;1,"DUPLICATE","OK")</f>
        <v>OK</v>
      </c>
    </row>
    <row r="29" spans="1:11" ht="18" customHeight="1" x14ac:dyDescent="0.2">
      <c r="A29" s="10" t="str">
        <f>IF(LEFT(TRIM(Raw_Data!A28),5)="CUST-",UPPER(TRIM(Raw_Data!A28)),"CUST-"&amp;UPPER(TRIM(Raw_Data!A28)))</f>
        <v>CUST-1025</v>
      </c>
      <c r="B29" s="10" t="str">
        <f>Raw_Data!B28</f>
        <v>ACC-331399</v>
      </c>
      <c r="C29" s="10" t="str">
        <f>PROPER(TRIM(CLEAN(Raw_Data!C28)))</f>
        <v>Nisha Thomas</v>
      </c>
      <c r="D29" s="10" t="str">
        <f>Raw_Data!D28</f>
        <v>2026-08-25</v>
      </c>
      <c r="E29" s="10" t="str">
        <f>PROPER(TRIM(Raw_Data!E28))</f>
        <v>Debit</v>
      </c>
      <c r="F29" s="10">
        <f>IFERROR(VALUE(SUBSTITUTE(SUBSTITUTE(TRIM(Raw_Data!F28),"$",""),",","")),"CHECK")</f>
        <v>350</v>
      </c>
      <c r="G29" s="10" t="str">
        <f>Raw_Data!G28</f>
        <v>INR</v>
      </c>
      <c r="H29" s="10" t="str">
        <f>IF(TRIM(Raw_Data!H28)="","UNKNOWN",TRIM(Raw_Data!H28))</f>
        <v>BRN-05</v>
      </c>
      <c r="I29" s="10" t="str">
        <f>Raw_Data!I28</f>
        <v>TXN-0025</v>
      </c>
      <c r="J29" s="10" t="str">
        <f>PROPER(TRIM(CLEAN(Raw_Data!J28)))</f>
        <v>Streaming Subscription</v>
      </c>
      <c r="K29" s="20" t="str">
        <f>IF(COUNTIF($J$3:J29,J29)&gt;1,"DUPLICATE","OK")</f>
        <v>OK</v>
      </c>
    </row>
    <row r="30" spans="1:11" ht="18" customHeight="1" x14ac:dyDescent="0.2">
      <c r="A30" s="10" t="str">
        <f>IF(LEFT(TRIM(Raw_Data!A29),5)="CUST-",UPPER(TRIM(Raw_Data!A29)),"CUST-"&amp;UPPER(TRIM(Raw_Data!A29)))</f>
        <v>CUST-1026</v>
      </c>
      <c r="B30" s="10" t="str">
        <f>Raw_Data!B29</f>
        <v>ACC-220288</v>
      </c>
      <c r="C30" s="10" t="str">
        <f>PROPER(TRIM(CLEAN(Raw_Data!C29)))</f>
        <v>Vishal Agarwal</v>
      </c>
      <c r="D30" s="10" t="str">
        <f>Raw_Data!D29</f>
        <v>2026-08-25</v>
      </c>
      <c r="E30" s="10" t="str">
        <f>PROPER(TRIM(Raw_Data!E29))</f>
        <v>Credit</v>
      </c>
      <c r="F30" s="10">
        <f>IFERROR(VALUE(SUBSTITUTE(SUBSTITUTE(TRIM(Raw_Data!F29),"$",""),",","")),"CHECK")</f>
        <v>25000</v>
      </c>
      <c r="G30" s="10" t="str">
        <f>Raw_Data!G29</f>
        <v>INR</v>
      </c>
      <c r="H30" s="10" t="str">
        <f>IF(TRIM(Raw_Data!H29)="","UNKNOWN",TRIM(Raw_Data!H29))</f>
        <v>BRN-01</v>
      </c>
      <c r="I30" s="10" t="str">
        <f>Raw_Data!I29</f>
        <v>TXN-0026</v>
      </c>
      <c r="J30" s="10" t="str">
        <f>PROPER(TRIM(CLEAN(Raw_Data!J29)))</f>
        <v>Project Bonus</v>
      </c>
      <c r="K30" s="20" t="str">
        <f>IF(COUNTIF($J$3:J30,J30)&gt;1,"DUPLICATE","OK")</f>
        <v>OK</v>
      </c>
    </row>
    <row r="31" spans="1:11" ht="18" customHeight="1" x14ac:dyDescent="0.2">
      <c r="A31" s="10" t="str">
        <f>IF(LEFT(TRIM(Raw_Data!A30),5)="CUST-",UPPER(TRIM(Raw_Data!A30)),"CUST-"&amp;UPPER(TRIM(Raw_Data!A30)))</f>
        <v>CUST-1027</v>
      </c>
      <c r="B31" s="10" t="str">
        <f>Raw_Data!B30</f>
        <v>ACC-119177</v>
      </c>
      <c r="C31" s="10" t="str">
        <f>PROPER(TRIM(CLEAN(Raw_Data!C30)))</f>
        <v>Sunita Rao</v>
      </c>
      <c r="D31" s="10" t="str">
        <f>Raw_Data!D30</f>
        <v>2026-08-25</v>
      </c>
      <c r="E31" s="10" t="str">
        <f>PROPER(TRIM(Raw_Data!E30))</f>
        <v>Debit</v>
      </c>
      <c r="F31" s="10">
        <f>IFERROR(VALUE(SUBSTITUTE(SUBSTITUTE(TRIM(Raw_Data!F30),"$",""),",","")),"CHECK")</f>
        <v>1800</v>
      </c>
      <c r="G31" s="10" t="str">
        <f>Raw_Data!G30</f>
        <v>INR</v>
      </c>
      <c r="H31" s="10" t="str">
        <f>IF(TRIM(Raw_Data!H30)="","UNKNOWN",TRIM(Raw_Data!H30))</f>
        <v>BRN-03</v>
      </c>
      <c r="I31" s="10" t="str">
        <f>Raw_Data!I30</f>
        <v>TXN-0027</v>
      </c>
      <c r="J31" s="10" t="str">
        <f>PROPER(TRIM(CLEAN(Raw_Data!J30)))</f>
        <v>Monthly Subscription</v>
      </c>
      <c r="K31" s="20" t="str">
        <f>IF(COUNTIF($J$3:J31,J31)&gt;1,"DUPLICATE","OK")</f>
        <v>OK</v>
      </c>
    </row>
    <row r="32" spans="1:11" ht="18" customHeight="1" x14ac:dyDescent="0.2">
      <c r="A32" s="10" t="str">
        <f>IF(LEFT(TRIM(Raw_Data!A31),5)="CUST-",UPPER(TRIM(Raw_Data!A31)),"CUST-"&amp;UPPER(TRIM(Raw_Data!A31)))</f>
        <v>CUST-1028</v>
      </c>
      <c r="B32" s="10" t="str">
        <f>Raw_Data!B31</f>
        <v>ACC-008066</v>
      </c>
      <c r="C32" s="10" t="str">
        <f>PROPER(TRIM(CLEAN(Raw_Data!C31)))</f>
        <v>Rajan Pillai</v>
      </c>
      <c r="D32" s="10" t="str">
        <f>Raw_Data!D31</f>
        <v>25/08/2026</v>
      </c>
      <c r="E32" s="10" t="str">
        <f>PROPER(TRIM(Raw_Data!E31))</f>
        <v>Credit</v>
      </c>
      <c r="F32" s="10">
        <f>IFERROR(VALUE(SUBSTITUTE(SUBSTITUTE(TRIM(Raw_Data!F31),"$",""),",","")),"CHECK")</f>
        <v>14000</v>
      </c>
      <c r="G32" s="10" t="str">
        <f>Raw_Data!G31</f>
        <v>INR</v>
      </c>
      <c r="H32" s="10" t="str">
        <f>IF(TRIM(Raw_Data!H31)="","UNKNOWN",TRIM(Raw_Data!H31))</f>
        <v>BRN-04</v>
      </c>
      <c r="I32" s="10" t="str">
        <f>Raw_Data!I31</f>
        <v>TXN-0028</v>
      </c>
      <c r="J32" s="10" t="str">
        <f>PROPER(TRIM(CLEAN(Raw_Data!J31)))</f>
        <v>Salary Advance</v>
      </c>
      <c r="K32" s="20" t="str">
        <f>IF(COUNTIF($J$3:J32,J32)&gt;1,"DUPLICATE","OK")</f>
        <v>OK</v>
      </c>
    </row>
    <row r="34" spans="1:10" ht="21.75" customHeight="1" x14ac:dyDescent="0.2">
      <c r="A34" s="85" t="s">
        <v>287</v>
      </c>
      <c r="B34" s="85"/>
      <c r="C34" s="85"/>
      <c r="D34" s="85"/>
      <c r="E34" s="85"/>
      <c r="F34" s="85"/>
      <c r="G34" s="85"/>
      <c r="H34" s="85"/>
      <c r="I34" s="85"/>
      <c r="J34" s="85"/>
    </row>
    <row r="36" spans="1:10" ht="24" customHeight="1" x14ac:dyDescent="0.2">
      <c r="A36" s="86" t="s">
        <v>288</v>
      </c>
      <c r="B36" s="86"/>
      <c r="C36" s="86"/>
      <c r="D36" s="86"/>
      <c r="E36" s="86"/>
      <c r="F36" s="86"/>
      <c r="G36" s="86"/>
      <c r="H36" s="86"/>
      <c r="I36" s="86"/>
      <c r="J36" s="86"/>
    </row>
    <row r="37" spans="1:10" ht="21.75" customHeight="1" x14ac:dyDescent="0.2">
      <c r="A37" s="1" t="s">
        <v>289</v>
      </c>
      <c r="B37" s="81" t="s">
        <v>290</v>
      </c>
      <c r="C37" s="81"/>
      <c r="D37" s="81"/>
      <c r="E37" s="81"/>
      <c r="F37" s="81"/>
      <c r="G37" s="82" t="s">
        <v>291</v>
      </c>
      <c r="H37" s="82"/>
      <c r="I37" s="82"/>
      <c r="J37" s="82"/>
    </row>
    <row r="38" spans="1:10" ht="21.75" customHeight="1" x14ac:dyDescent="0.2">
      <c r="A38" s="1" t="s">
        <v>292</v>
      </c>
      <c r="B38" s="81" t="s">
        <v>293</v>
      </c>
      <c r="C38" s="81"/>
      <c r="D38" s="81"/>
      <c r="E38" s="81"/>
      <c r="F38" s="81"/>
      <c r="G38" s="82" t="s">
        <v>294</v>
      </c>
      <c r="H38" s="82"/>
      <c r="I38" s="82"/>
      <c r="J38" s="82"/>
    </row>
    <row r="39" spans="1:10" ht="21.75" customHeight="1" x14ac:dyDescent="0.2">
      <c r="A39" s="1" t="s">
        <v>295</v>
      </c>
      <c r="B39" s="81" t="s">
        <v>296</v>
      </c>
      <c r="C39" s="81"/>
      <c r="D39" s="81"/>
      <c r="E39" s="81"/>
      <c r="F39" s="81"/>
      <c r="G39" s="82" t="s">
        <v>297</v>
      </c>
      <c r="H39" s="82"/>
      <c r="I39" s="82"/>
      <c r="J39" s="82"/>
    </row>
    <row r="40" spans="1:10" ht="21.75" customHeight="1" x14ac:dyDescent="0.2">
      <c r="A40" s="1" t="s">
        <v>298</v>
      </c>
      <c r="B40" s="81" t="s">
        <v>299</v>
      </c>
      <c r="C40" s="81"/>
      <c r="D40" s="81"/>
      <c r="E40" s="81"/>
      <c r="F40" s="81"/>
      <c r="G40" s="82" t="s">
        <v>300</v>
      </c>
      <c r="H40" s="82"/>
      <c r="I40" s="82"/>
      <c r="J40" s="82"/>
    </row>
    <row r="41" spans="1:10" ht="21.75" customHeight="1" x14ac:dyDescent="0.2">
      <c r="A41" s="1" t="s">
        <v>301</v>
      </c>
      <c r="B41" s="81" t="s">
        <v>302</v>
      </c>
      <c r="C41" s="81"/>
      <c r="D41" s="81"/>
      <c r="E41" s="81"/>
      <c r="F41" s="81"/>
      <c r="G41" s="82" t="s">
        <v>303</v>
      </c>
      <c r="H41" s="82"/>
      <c r="I41" s="82"/>
      <c r="J41" s="82"/>
    </row>
    <row r="43" spans="1:10" ht="18" customHeight="1" x14ac:dyDescent="0.2">
      <c r="A43" s="83" t="s">
        <v>304</v>
      </c>
      <c r="B43" s="83"/>
      <c r="C43" s="83"/>
      <c r="D43" s="83"/>
      <c r="E43" s="83"/>
      <c r="F43" s="83"/>
      <c r="G43" s="83"/>
      <c r="H43" s="83"/>
      <c r="I43" s="83"/>
      <c r="J43" s="83"/>
    </row>
  </sheetData>
  <mergeCells count="14">
    <mergeCell ref="A2:J2"/>
    <mergeCell ref="A34:J34"/>
    <mergeCell ref="A36:J36"/>
    <mergeCell ref="B37:F37"/>
    <mergeCell ref="G37:J37"/>
    <mergeCell ref="B41:F41"/>
    <mergeCell ref="G41:J41"/>
    <mergeCell ref="A43:J43"/>
    <mergeCell ref="B38:F38"/>
    <mergeCell ref="G38:J38"/>
    <mergeCell ref="B39:F39"/>
    <mergeCell ref="G39:J39"/>
    <mergeCell ref="B40:F40"/>
    <mergeCell ref="G40:J40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F738F-FE5B-5E49-954D-8D026CA37EAF}">
  <dimension ref="B1:G102"/>
  <sheetViews>
    <sheetView workbookViewId="0">
      <selection activeCell="D40" sqref="D40"/>
    </sheetView>
  </sheetViews>
  <sheetFormatPr baseColWidth="10" defaultRowHeight="15" x14ac:dyDescent="0.2"/>
  <cols>
    <col min="1" max="1" width="3.33203125" customWidth="1"/>
    <col min="2" max="2" width="15" customWidth="1"/>
    <col min="3" max="3" width="21.6640625" customWidth="1"/>
    <col min="4" max="5" width="18.33203125" customWidth="1"/>
    <col min="6" max="7" width="16.6640625" customWidth="1"/>
  </cols>
  <sheetData>
    <row r="1" spans="2:7" ht="19" x14ac:dyDescent="0.2">
      <c r="B1" s="95" t="s">
        <v>306</v>
      </c>
      <c r="C1" s="95"/>
      <c r="D1" s="95"/>
      <c r="E1" s="95"/>
      <c r="F1" s="95"/>
      <c r="G1" s="95"/>
    </row>
    <row r="2" spans="2:7" x14ac:dyDescent="0.2">
      <c r="B2" s="96" t="s">
        <v>307</v>
      </c>
      <c r="C2" s="96"/>
      <c r="D2" s="96"/>
      <c r="E2" s="96"/>
      <c r="F2" s="96"/>
      <c r="G2" s="96"/>
    </row>
    <row r="4" spans="2:7" x14ac:dyDescent="0.2">
      <c r="B4" s="93" t="s">
        <v>308</v>
      </c>
      <c r="C4" s="93"/>
      <c r="D4" s="93"/>
      <c r="E4" s="93"/>
      <c r="F4" s="93"/>
      <c r="G4" s="93"/>
    </row>
    <row r="5" spans="2:7" x14ac:dyDescent="0.2">
      <c r="B5" s="31" t="s">
        <v>309</v>
      </c>
    </row>
    <row r="6" spans="2:7" x14ac:dyDescent="0.2">
      <c r="B6" s="30" t="s">
        <v>310</v>
      </c>
    </row>
    <row r="7" spans="2:7" x14ac:dyDescent="0.2">
      <c r="B7" s="30" t="s">
        <v>311</v>
      </c>
    </row>
    <row r="8" spans="2:7" x14ac:dyDescent="0.2">
      <c r="B8" s="30" t="s">
        <v>312</v>
      </c>
    </row>
    <row r="9" spans="2:7" x14ac:dyDescent="0.2">
      <c r="B9" s="30" t="s">
        <v>313</v>
      </c>
    </row>
    <row r="10" spans="2:7" x14ac:dyDescent="0.2">
      <c r="B10" s="30" t="s">
        <v>314</v>
      </c>
    </row>
    <row r="11" spans="2:7" x14ac:dyDescent="0.2">
      <c r="B11" s="30" t="s">
        <v>315</v>
      </c>
    </row>
    <row r="13" spans="2:7" x14ac:dyDescent="0.2">
      <c r="B13" s="93" t="s">
        <v>316</v>
      </c>
      <c r="C13" s="93"/>
      <c r="D13" s="93"/>
      <c r="E13" s="93"/>
      <c r="F13" s="93"/>
      <c r="G13" s="93"/>
    </row>
    <row r="14" spans="2:7" ht="42" customHeight="1" x14ac:dyDescent="0.2">
      <c r="B14" s="97" t="s">
        <v>317</v>
      </c>
      <c r="C14" s="98"/>
      <c r="D14" s="98"/>
      <c r="E14" s="98"/>
      <c r="F14" s="98"/>
      <c r="G14" s="98"/>
    </row>
    <row r="16" spans="2:7" x14ac:dyDescent="0.2">
      <c r="B16" s="93" t="s">
        <v>318</v>
      </c>
      <c r="C16" s="93"/>
      <c r="D16" s="93"/>
      <c r="E16" s="93"/>
      <c r="F16" s="93"/>
      <c r="G16" s="93"/>
    </row>
    <row r="17" spans="2:7" x14ac:dyDescent="0.2">
      <c r="B17" s="32" t="s">
        <v>43</v>
      </c>
      <c r="C17" s="32" t="s">
        <v>37</v>
      </c>
      <c r="D17" s="32" t="s">
        <v>38</v>
      </c>
      <c r="E17" s="32" t="s">
        <v>39</v>
      </c>
      <c r="F17" s="32" t="s">
        <v>319</v>
      </c>
      <c r="G17" s="32" t="s">
        <v>42</v>
      </c>
    </row>
    <row r="18" spans="2:7" x14ac:dyDescent="0.2">
      <c r="B18" s="33" t="s">
        <v>54</v>
      </c>
      <c r="C18" s="34" t="s">
        <v>48</v>
      </c>
      <c r="D18" s="39">
        <v>46235</v>
      </c>
      <c r="E18" s="34" t="s">
        <v>50</v>
      </c>
      <c r="F18" s="41">
        <v>15000</v>
      </c>
      <c r="G18" s="35" t="s">
        <v>53</v>
      </c>
    </row>
    <row r="19" spans="2:7" x14ac:dyDescent="0.2">
      <c r="B19" s="36" t="s">
        <v>64</v>
      </c>
      <c r="C19" s="37" t="s">
        <v>320</v>
      </c>
      <c r="D19" s="40">
        <v>46236</v>
      </c>
      <c r="E19" s="37" t="s">
        <v>80</v>
      </c>
      <c r="F19" s="42">
        <v>8500</v>
      </c>
      <c r="G19" s="38" t="s">
        <v>63</v>
      </c>
    </row>
    <row r="20" spans="2:7" x14ac:dyDescent="0.2">
      <c r="B20" s="36" t="s">
        <v>73</v>
      </c>
      <c r="C20" s="37" t="s">
        <v>321</v>
      </c>
      <c r="D20" s="40">
        <v>46235</v>
      </c>
      <c r="E20" s="37" t="s">
        <v>50</v>
      </c>
      <c r="F20" s="42">
        <v>22000</v>
      </c>
      <c r="G20" s="38" t="s">
        <v>322</v>
      </c>
    </row>
    <row r="21" spans="2:7" x14ac:dyDescent="0.2">
      <c r="B21" s="36" t="s">
        <v>82</v>
      </c>
      <c r="C21" s="37" t="s">
        <v>78</v>
      </c>
      <c r="D21" s="40">
        <v>46238</v>
      </c>
      <c r="E21" s="37" t="s">
        <v>80</v>
      </c>
      <c r="F21" s="42">
        <v>3750</v>
      </c>
      <c r="G21" s="38" t="s">
        <v>53</v>
      </c>
    </row>
    <row r="22" spans="2:7" x14ac:dyDescent="0.2">
      <c r="B22" s="36" t="s">
        <v>323</v>
      </c>
      <c r="C22" s="37" t="s">
        <v>87</v>
      </c>
      <c r="D22" s="40">
        <v>46239</v>
      </c>
      <c r="E22" s="37" t="s">
        <v>50</v>
      </c>
      <c r="F22" s="42">
        <v>9800</v>
      </c>
      <c r="G22" s="38" t="s">
        <v>90</v>
      </c>
    </row>
    <row r="23" spans="2:7" x14ac:dyDescent="0.2">
      <c r="B23" s="36" t="s">
        <v>98</v>
      </c>
      <c r="C23" s="37" t="s">
        <v>324</v>
      </c>
      <c r="D23" s="40">
        <v>46240</v>
      </c>
      <c r="E23" s="37" t="s">
        <v>80</v>
      </c>
      <c r="F23" s="42">
        <v>1200.5</v>
      </c>
      <c r="G23" s="38" t="s">
        <v>63</v>
      </c>
    </row>
    <row r="24" spans="2:7" x14ac:dyDescent="0.2">
      <c r="B24" s="36" t="s">
        <v>108</v>
      </c>
      <c r="C24" s="37" t="s">
        <v>325</v>
      </c>
      <c r="D24" s="40">
        <v>46241</v>
      </c>
      <c r="E24" s="37" t="s">
        <v>80</v>
      </c>
      <c r="F24" s="42">
        <v>500</v>
      </c>
      <c r="G24" s="38" t="s">
        <v>107</v>
      </c>
    </row>
    <row r="25" spans="2:7" x14ac:dyDescent="0.2">
      <c r="B25" s="36" t="s">
        <v>116</v>
      </c>
      <c r="C25" s="37" t="s">
        <v>113</v>
      </c>
      <c r="D25" s="40">
        <v>46242</v>
      </c>
      <c r="E25" s="37" t="s">
        <v>50</v>
      </c>
      <c r="F25" s="42">
        <v>45000</v>
      </c>
      <c r="G25" s="38" t="s">
        <v>322</v>
      </c>
    </row>
    <row r="26" spans="2:7" x14ac:dyDescent="0.2">
      <c r="B26" s="36" t="s">
        <v>124</v>
      </c>
      <c r="C26" s="37" t="s">
        <v>326</v>
      </c>
      <c r="D26" s="40">
        <v>46243</v>
      </c>
      <c r="E26" s="37" t="s">
        <v>80</v>
      </c>
      <c r="F26" s="42">
        <v>2300</v>
      </c>
      <c r="G26" s="38" t="s">
        <v>90</v>
      </c>
    </row>
    <row r="27" spans="2:7" x14ac:dyDescent="0.2">
      <c r="B27" s="36" t="s">
        <v>132</v>
      </c>
      <c r="C27" s="37" t="s">
        <v>327</v>
      </c>
      <c r="D27" s="40">
        <v>46244</v>
      </c>
      <c r="E27" s="37" t="s">
        <v>50</v>
      </c>
      <c r="F27" s="42">
        <v>11000</v>
      </c>
      <c r="G27" s="38" t="s">
        <v>53</v>
      </c>
    </row>
    <row r="28" spans="2:7" x14ac:dyDescent="0.2">
      <c r="B28" s="36" t="s">
        <v>141</v>
      </c>
      <c r="C28" s="37" t="s">
        <v>328</v>
      </c>
      <c r="D28" s="40">
        <v>46245</v>
      </c>
      <c r="E28" s="37" t="s">
        <v>80</v>
      </c>
      <c r="F28" s="42">
        <v>750</v>
      </c>
      <c r="G28" s="38" t="s">
        <v>140</v>
      </c>
    </row>
    <row r="29" spans="2:7" x14ac:dyDescent="0.2">
      <c r="B29" s="36" t="s">
        <v>158</v>
      </c>
      <c r="C29" s="37" t="s">
        <v>155</v>
      </c>
      <c r="D29" s="40">
        <v>46248</v>
      </c>
      <c r="E29" s="37" t="s">
        <v>80</v>
      </c>
      <c r="F29" s="42">
        <v>4200</v>
      </c>
      <c r="G29" s="38" t="s">
        <v>107</v>
      </c>
    </row>
    <row r="30" spans="2:7" x14ac:dyDescent="0.2">
      <c r="B30" s="36" t="s">
        <v>167</v>
      </c>
      <c r="C30" s="37" t="s">
        <v>329</v>
      </c>
      <c r="D30" s="40">
        <v>46249</v>
      </c>
      <c r="E30" s="37" t="s">
        <v>50</v>
      </c>
      <c r="F30" s="42">
        <v>18900</v>
      </c>
      <c r="G30" s="38" t="s">
        <v>53</v>
      </c>
    </row>
    <row r="31" spans="2:7" x14ac:dyDescent="0.2">
      <c r="B31" s="36" t="s">
        <v>175</v>
      </c>
      <c r="C31" s="37" t="s">
        <v>330</v>
      </c>
      <c r="D31" s="40">
        <v>46250</v>
      </c>
      <c r="E31" s="37" t="s">
        <v>80</v>
      </c>
      <c r="F31" s="42">
        <v>250</v>
      </c>
      <c r="G31" s="38" t="s">
        <v>322</v>
      </c>
    </row>
    <row r="32" spans="2:7" x14ac:dyDescent="0.2">
      <c r="B32" s="36" t="s">
        <v>183</v>
      </c>
      <c r="C32" s="37" t="s">
        <v>331</v>
      </c>
      <c r="D32" s="40">
        <v>46251</v>
      </c>
      <c r="E32" s="37" t="s">
        <v>50</v>
      </c>
      <c r="F32" s="42">
        <v>8000</v>
      </c>
      <c r="G32" s="38" t="s">
        <v>90</v>
      </c>
    </row>
    <row r="33" spans="2:7" x14ac:dyDescent="0.2">
      <c r="B33" s="36" t="s">
        <v>191</v>
      </c>
      <c r="C33" s="37" t="s">
        <v>332</v>
      </c>
      <c r="D33" s="40">
        <v>46253</v>
      </c>
      <c r="E33" s="37" t="s">
        <v>80</v>
      </c>
      <c r="F33" s="42">
        <v>1050</v>
      </c>
      <c r="G33" s="38" t="s">
        <v>140</v>
      </c>
    </row>
    <row r="34" spans="2:7" x14ac:dyDescent="0.2">
      <c r="B34" s="36" t="s">
        <v>199</v>
      </c>
      <c r="C34" s="37" t="s">
        <v>196</v>
      </c>
      <c r="D34" s="40">
        <v>46254</v>
      </c>
      <c r="E34" s="37" t="s">
        <v>50</v>
      </c>
      <c r="F34" s="42">
        <v>30000</v>
      </c>
      <c r="G34" s="38" t="s">
        <v>63</v>
      </c>
    </row>
    <row r="35" spans="2:7" x14ac:dyDescent="0.2">
      <c r="B35" s="36" t="s">
        <v>207</v>
      </c>
      <c r="C35" s="37" t="s">
        <v>333</v>
      </c>
      <c r="D35" s="40">
        <v>46255</v>
      </c>
      <c r="E35" s="37" t="s">
        <v>80</v>
      </c>
      <c r="F35" s="42">
        <v>600</v>
      </c>
      <c r="G35" s="38" t="s">
        <v>322</v>
      </c>
    </row>
    <row r="36" spans="2:7" x14ac:dyDescent="0.2">
      <c r="B36" s="36" t="s">
        <v>215</v>
      </c>
      <c r="C36" s="37" t="s">
        <v>334</v>
      </c>
      <c r="D36" s="40">
        <v>46256</v>
      </c>
      <c r="E36" s="37" t="s">
        <v>50</v>
      </c>
      <c r="F36" s="42">
        <v>5500</v>
      </c>
      <c r="G36" s="38" t="s">
        <v>53</v>
      </c>
    </row>
    <row r="37" spans="2:7" x14ac:dyDescent="0.2">
      <c r="B37" s="36" t="s">
        <v>223</v>
      </c>
      <c r="C37" s="37" t="s">
        <v>335</v>
      </c>
      <c r="D37" s="40">
        <v>46257</v>
      </c>
      <c r="E37" s="37" t="s">
        <v>50</v>
      </c>
      <c r="F37" s="42">
        <v>12750</v>
      </c>
      <c r="G37" s="38" t="s">
        <v>90</v>
      </c>
    </row>
    <row r="38" spans="2:7" x14ac:dyDescent="0.2">
      <c r="B38" s="36" t="s">
        <v>231</v>
      </c>
      <c r="C38" s="37" t="s">
        <v>336</v>
      </c>
      <c r="D38" s="40">
        <v>46258</v>
      </c>
      <c r="E38" s="37" t="s">
        <v>80</v>
      </c>
      <c r="F38" s="42">
        <v>900</v>
      </c>
      <c r="G38" s="38" t="s">
        <v>107</v>
      </c>
    </row>
    <row r="39" spans="2:7" x14ac:dyDescent="0.2">
      <c r="B39" s="36" t="s">
        <v>240</v>
      </c>
      <c r="C39" s="37" t="s">
        <v>236</v>
      </c>
      <c r="D39" s="40">
        <v>46259</v>
      </c>
      <c r="E39" s="37" t="s">
        <v>80</v>
      </c>
      <c r="F39" s="42">
        <v>2100</v>
      </c>
      <c r="G39" s="38" t="s">
        <v>322</v>
      </c>
    </row>
    <row r="40" spans="2:7" x14ac:dyDescent="0.2">
      <c r="B40" s="36" t="s">
        <v>247</v>
      </c>
      <c r="C40" s="37" t="s">
        <v>337</v>
      </c>
      <c r="D40" s="40">
        <v>46259</v>
      </c>
      <c r="E40" s="37" t="s">
        <v>50</v>
      </c>
      <c r="F40" s="42">
        <v>7200</v>
      </c>
      <c r="G40" s="38" t="s">
        <v>63</v>
      </c>
    </row>
    <row r="41" spans="2:7" x14ac:dyDescent="0.2">
      <c r="B41" s="36" t="s">
        <v>254</v>
      </c>
      <c r="C41" s="37" t="s">
        <v>338</v>
      </c>
      <c r="D41" s="40">
        <v>46259</v>
      </c>
      <c r="E41" s="37" t="s">
        <v>80</v>
      </c>
      <c r="F41" s="42">
        <v>350</v>
      </c>
      <c r="G41" s="38" t="s">
        <v>140</v>
      </c>
    </row>
    <row r="42" spans="2:7" x14ac:dyDescent="0.2">
      <c r="B42" s="36" t="s">
        <v>261</v>
      </c>
      <c r="C42" s="37" t="s">
        <v>339</v>
      </c>
      <c r="D42" s="40">
        <v>46259</v>
      </c>
      <c r="E42" s="37" t="s">
        <v>50</v>
      </c>
      <c r="F42" s="42">
        <v>25000</v>
      </c>
      <c r="G42" s="38" t="s">
        <v>53</v>
      </c>
    </row>
    <row r="43" spans="2:7" x14ac:dyDescent="0.2">
      <c r="B43" s="36" t="s">
        <v>268</v>
      </c>
      <c r="C43" s="37" t="s">
        <v>266</v>
      </c>
      <c r="D43" s="40">
        <v>46259</v>
      </c>
      <c r="E43" s="37" t="s">
        <v>80</v>
      </c>
      <c r="F43" s="42">
        <v>1800</v>
      </c>
      <c r="G43" s="38" t="s">
        <v>90</v>
      </c>
    </row>
    <row r="44" spans="2:7" x14ac:dyDescent="0.2">
      <c r="B44" s="36" t="s">
        <v>276</v>
      </c>
      <c r="C44" s="37" t="s">
        <v>340</v>
      </c>
      <c r="D44" s="40">
        <v>46259</v>
      </c>
      <c r="E44" s="37" t="s">
        <v>50</v>
      </c>
      <c r="F44" s="42">
        <v>14000</v>
      </c>
      <c r="G44" s="38" t="s">
        <v>107</v>
      </c>
    </row>
    <row r="46" spans="2:7" x14ac:dyDescent="0.2">
      <c r="B46" s="93" t="s">
        <v>341</v>
      </c>
      <c r="C46" s="93"/>
      <c r="D46" s="93"/>
      <c r="E46" s="93"/>
    </row>
    <row r="47" spans="2:7" x14ac:dyDescent="0.2">
      <c r="B47" s="50" t="s">
        <v>342</v>
      </c>
      <c r="C47" s="51" t="s">
        <v>343</v>
      </c>
      <c r="D47" s="51" t="s">
        <v>344</v>
      </c>
      <c r="E47" s="52" t="s">
        <v>345</v>
      </c>
    </row>
    <row r="48" spans="2:7" x14ac:dyDescent="0.2">
      <c r="B48" s="54" t="s">
        <v>346</v>
      </c>
      <c r="C48" s="53" t="s">
        <v>347</v>
      </c>
      <c r="D48" s="55" t="s">
        <v>348</v>
      </c>
      <c r="E48" s="56" t="s">
        <v>349</v>
      </c>
    </row>
    <row r="49" spans="2:5" x14ac:dyDescent="0.2">
      <c r="B49" s="54" t="s">
        <v>350</v>
      </c>
      <c r="C49" s="53" t="s">
        <v>351</v>
      </c>
      <c r="D49" s="55" t="s">
        <v>352</v>
      </c>
      <c r="E49" s="56" t="s">
        <v>353</v>
      </c>
    </row>
    <row r="50" spans="2:5" x14ac:dyDescent="0.2">
      <c r="B50" s="54" t="s">
        <v>354</v>
      </c>
      <c r="C50" s="53" t="s">
        <v>355</v>
      </c>
      <c r="D50" s="55" t="s">
        <v>356</v>
      </c>
      <c r="E50" s="56" t="s">
        <v>357</v>
      </c>
    </row>
    <row r="51" spans="2:5" x14ac:dyDescent="0.2">
      <c r="B51" s="54" t="s">
        <v>358</v>
      </c>
      <c r="C51" s="53" t="s">
        <v>359</v>
      </c>
      <c r="D51" s="55" t="s">
        <v>360</v>
      </c>
      <c r="E51" s="56" t="s">
        <v>381</v>
      </c>
    </row>
    <row r="52" spans="2:5" x14ac:dyDescent="0.2">
      <c r="B52" s="54" t="s">
        <v>361</v>
      </c>
      <c r="C52" s="53" t="s">
        <v>362</v>
      </c>
      <c r="D52" s="55" t="s">
        <v>363</v>
      </c>
      <c r="E52" s="56" t="s">
        <v>364</v>
      </c>
    </row>
    <row r="53" spans="2:5" x14ac:dyDescent="0.2">
      <c r="B53" s="54" t="s">
        <v>365</v>
      </c>
      <c r="C53" s="53" t="s">
        <v>366</v>
      </c>
      <c r="D53" s="55" t="s">
        <v>367</v>
      </c>
      <c r="E53" s="56" t="s">
        <v>368</v>
      </c>
    </row>
    <row r="54" spans="2:5" x14ac:dyDescent="0.2">
      <c r="B54" s="54" t="s">
        <v>369</v>
      </c>
      <c r="C54" s="53" t="s">
        <v>370</v>
      </c>
      <c r="D54" s="55" t="s">
        <v>371</v>
      </c>
      <c r="E54" s="56" t="s">
        <v>372</v>
      </c>
    </row>
    <row r="55" spans="2:5" x14ac:dyDescent="0.2">
      <c r="B55" s="54" t="s">
        <v>373</v>
      </c>
      <c r="C55" s="53" t="s">
        <v>374</v>
      </c>
      <c r="D55" s="55" t="s">
        <v>375</v>
      </c>
      <c r="E55" s="56" t="s">
        <v>376</v>
      </c>
    </row>
    <row r="56" spans="2:5" x14ac:dyDescent="0.2">
      <c r="B56" s="54" t="s">
        <v>377</v>
      </c>
      <c r="C56" s="53" t="s">
        <v>378</v>
      </c>
      <c r="D56" s="55" t="s">
        <v>379</v>
      </c>
      <c r="E56" s="56" t="s">
        <v>380</v>
      </c>
    </row>
    <row r="58" spans="2:5" x14ac:dyDescent="0.2">
      <c r="B58" s="93" t="s">
        <v>382</v>
      </c>
      <c r="C58" s="93"/>
      <c r="D58" s="93"/>
    </row>
    <row r="59" spans="2:5" x14ac:dyDescent="0.2">
      <c r="B59" s="47" t="s">
        <v>383</v>
      </c>
      <c r="C59" s="48" t="s">
        <v>384</v>
      </c>
      <c r="D59" s="49" t="s">
        <v>385</v>
      </c>
    </row>
    <row r="60" spans="2:5" x14ac:dyDescent="0.2">
      <c r="B60" s="36" t="s">
        <v>386</v>
      </c>
      <c r="C60" s="42">
        <f>MAX($F$18:$F$44)</f>
        <v>45000</v>
      </c>
      <c r="D60" s="57" t="s">
        <v>387</v>
      </c>
    </row>
    <row r="61" spans="2:5" x14ac:dyDescent="0.2">
      <c r="B61" s="36" t="s">
        <v>388</v>
      </c>
      <c r="C61" s="42">
        <f>LARGE($F$18:$F$44,2)</f>
        <v>30000</v>
      </c>
      <c r="D61" s="57" t="s">
        <v>389</v>
      </c>
    </row>
    <row r="62" spans="2:5" x14ac:dyDescent="0.2">
      <c r="B62" s="36" t="s">
        <v>390</v>
      </c>
      <c r="C62" s="42">
        <f>LARGE($F$18:$F$44,3)</f>
        <v>25000</v>
      </c>
      <c r="D62" s="57" t="s">
        <v>391</v>
      </c>
    </row>
    <row r="63" spans="2:5" x14ac:dyDescent="0.2">
      <c r="B63" s="36" t="s">
        <v>392</v>
      </c>
      <c r="C63" s="42">
        <f>SMALL($F$18:$F$44,1)</f>
        <v>250</v>
      </c>
      <c r="D63" s="57" t="s">
        <v>393</v>
      </c>
    </row>
    <row r="64" spans="2:5" x14ac:dyDescent="0.2">
      <c r="B64" s="36" t="s">
        <v>394</v>
      </c>
      <c r="C64" s="37" t="str">
        <f>INDEX($C$18:$C$44,MATCH(MAX($F$18:$F$44),$F$18:$F$44,0))</f>
        <v>Deepak Verma</v>
      </c>
      <c r="D64" s="57" t="s">
        <v>395</v>
      </c>
    </row>
    <row r="65" spans="2:7" x14ac:dyDescent="0.2">
      <c r="B65" s="36" t="s">
        <v>396</v>
      </c>
      <c r="C65" s="37">
        <f>_xlfn.RANK.EQ($F$18,$F$18:$F$44,0)</f>
        <v>6</v>
      </c>
      <c r="D65" s="57" t="s">
        <v>397</v>
      </c>
    </row>
    <row r="67" spans="2:7" x14ac:dyDescent="0.2">
      <c r="B67" s="94" t="s">
        <v>398</v>
      </c>
      <c r="C67" s="94"/>
      <c r="D67" s="94"/>
      <c r="E67" s="94"/>
    </row>
    <row r="68" spans="2:7" x14ac:dyDescent="0.2">
      <c r="B68" s="43" t="s">
        <v>37</v>
      </c>
      <c r="C68" s="43" t="s">
        <v>38</v>
      </c>
      <c r="D68" s="43" t="s">
        <v>39</v>
      </c>
      <c r="E68" s="43" t="s">
        <v>319</v>
      </c>
      <c r="G68" s="43" t="s">
        <v>399</v>
      </c>
    </row>
    <row r="69" spans="2:7" x14ac:dyDescent="0.2">
      <c r="B69" s="44" t="str" cm="1">
        <f t="array" ref="B69:E95">_xlfn._xlws.SORT($C$18:$F$44,4,-1)</f>
        <v>Deepak Verma</v>
      </c>
      <c r="C69" s="45">
        <v>46242</v>
      </c>
      <c r="D69" s="44" t="str">
        <v>Credit</v>
      </c>
      <c r="E69" s="46">
        <v>45000</v>
      </c>
      <c r="G69" s="44" t="str" cm="1">
        <f t="array" ref="G69:G95">_xlfn.SORTBY($C$18:$C$44,$G$18:$G$44,1,$F$18:$F$44,-1)</f>
        <v>Vishal Agarwal</v>
      </c>
    </row>
    <row r="70" spans="2:7" x14ac:dyDescent="0.2">
      <c r="B70" s="44" t="str">
        <v>Harsh Vardhan</v>
      </c>
      <c r="C70" s="45">
        <v>46254</v>
      </c>
      <c r="D70" s="44" t="str">
        <v>Credit</v>
      </c>
      <c r="E70" s="46">
        <v>30000</v>
      </c>
      <c r="G70" s="44" t="str">
        <v>Nikhil Joshi</v>
      </c>
    </row>
    <row r="71" spans="2:7" x14ac:dyDescent="0.2">
      <c r="B71" s="44" t="str">
        <v>Vishal Agarwal</v>
      </c>
      <c r="C71" s="45">
        <v>46259</v>
      </c>
      <c r="D71" s="44" t="str">
        <v>Credit</v>
      </c>
      <c r="E71" s="46">
        <v>25000</v>
      </c>
      <c r="G71" s="44" t="str">
        <v>Priya Sharma</v>
      </c>
    </row>
    <row r="72" spans="2:7" x14ac:dyDescent="0.2">
      <c r="B72" s="44" t="str">
        <v>Ananya Iyer</v>
      </c>
      <c r="C72" s="45">
        <v>46235</v>
      </c>
      <c r="D72" s="44" t="str">
        <v>Credit</v>
      </c>
      <c r="E72" s="46">
        <v>22000</v>
      </c>
      <c r="G72" s="44" t="str">
        <v>Arjun Bose</v>
      </c>
    </row>
    <row r="73" spans="2:7" x14ac:dyDescent="0.2">
      <c r="B73" s="44" t="str">
        <v>Nikhil Joshi</v>
      </c>
      <c r="C73" s="45">
        <v>46249</v>
      </c>
      <c r="D73" s="44" t="str">
        <v>Credit</v>
      </c>
      <c r="E73" s="46">
        <v>18900</v>
      </c>
      <c r="G73" s="44" t="str">
        <v>Sanjay Kapoor</v>
      </c>
    </row>
    <row r="74" spans="2:7" x14ac:dyDescent="0.2">
      <c r="B74" s="44" t="str">
        <v>Priya Sharma</v>
      </c>
      <c r="C74" s="45">
        <v>46235</v>
      </c>
      <c r="D74" s="44" t="str">
        <v>Credit</v>
      </c>
      <c r="E74" s="46">
        <v>15000</v>
      </c>
      <c r="G74" s="44" t="str">
        <v>Vikram Singh</v>
      </c>
    </row>
    <row r="75" spans="2:7" x14ac:dyDescent="0.2">
      <c r="B75" s="44" t="str">
        <v>Rajan Pillai</v>
      </c>
      <c r="C75" s="45">
        <v>46259</v>
      </c>
      <c r="D75" s="44" t="str">
        <v>Credit</v>
      </c>
      <c r="E75" s="46">
        <v>14000</v>
      </c>
      <c r="G75" s="44" t="str">
        <v>Harsh Vardhan</v>
      </c>
    </row>
    <row r="76" spans="2:7" x14ac:dyDescent="0.2">
      <c r="B76" s="44" t="str">
        <v>Radha Krishna</v>
      </c>
      <c r="C76" s="45">
        <v>46257</v>
      </c>
      <c r="D76" s="44" t="str">
        <v>Credit</v>
      </c>
      <c r="E76" s="46">
        <v>12750</v>
      </c>
      <c r="G76" s="44" t="str">
        <v>Rahul Mehta</v>
      </c>
    </row>
    <row r="77" spans="2:7" x14ac:dyDescent="0.2">
      <c r="B77" s="44" t="str">
        <v>Arjun Bose</v>
      </c>
      <c r="C77" s="45">
        <v>46244</v>
      </c>
      <c r="D77" s="44" t="str">
        <v>Credit</v>
      </c>
      <c r="E77" s="46">
        <v>11000</v>
      </c>
      <c r="G77" s="44" t="str">
        <v>Kiran Bhat</v>
      </c>
    </row>
    <row r="78" spans="2:7" x14ac:dyDescent="0.2">
      <c r="B78" s="44" t="str">
        <v>Sneha Nair</v>
      </c>
      <c r="C78" s="45">
        <v>46239</v>
      </c>
      <c r="D78" s="44" t="str">
        <v>Credit</v>
      </c>
      <c r="E78" s="46">
        <v>9800</v>
      </c>
      <c r="G78" s="44" t="str">
        <v>Amit Patel</v>
      </c>
    </row>
    <row r="79" spans="2:7" x14ac:dyDescent="0.2">
      <c r="B79" s="44" t="str">
        <v>Rahul Mehta</v>
      </c>
      <c r="C79" s="45">
        <v>46236</v>
      </c>
      <c r="D79" s="44" t="str">
        <v>Debit</v>
      </c>
      <c r="E79" s="46">
        <v>8500</v>
      </c>
      <c r="G79" s="44" t="str">
        <v>Radha Krishna</v>
      </c>
    </row>
    <row r="80" spans="2:7" x14ac:dyDescent="0.2">
      <c r="B80" s="44" t="str">
        <v>Rohit Kumar</v>
      </c>
      <c r="C80" s="45">
        <v>46251</v>
      </c>
      <c r="D80" s="44" t="str">
        <v>Credit</v>
      </c>
      <c r="E80" s="46">
        <v>8000</v>
      </c>
      <c r="G80" s="44" t="str">
        <v>Sneha Nair</v>
      </c>
    </row>
    <row r="81" spans="2:7" x14ac:dyDescent="0.2">
      <c r="B81" s="44" t="str">
        <v>Kiran Bhat</v>
      </c>
      <c r="C81" s="45">
        <v>46259</v>
      </c>
      <c r="D81" s="44" t="str">
        <v>Credit</v>
      </c>
      <c r="E81" s="46">
        <v>7200</v>
      </c>
      <c r="G81" s="44" t="str">
        <v>Rohit Kumar</v>
      </c>
    </row>
    <row r="82" spans="2:7" x14ac:dyDescent="0.2">
      <c r="B82" s="44" t="str">
        <v>Sanjay Kapoor</v>
      </c>
      <c r="C82" s="45">
        <v>46256</v>
      </c>
      <c r="D82" s="44" t="str">
        <v>Credit</v>
      </c>
      <c r="E82" s="46">
        <v>5500</v>
      </c>
      <c r="G82" s="44" t="str">
        <v>Meena Krishnan</v>
      </c>
    </row>
    <row r="83" spans="2:7" x14ac:dyDescent="0.2">
      <c r="B83" s="44" t="str">
        <v>Pooja Desai</v>
      </c>
      <c r="C83" s="45">
        <v>46248</v>
      </c>
      <c r="D83" s="44" t="str">
        <v>Debit</v>
      </c>
      <c r="E83" s="46">
        <v>4200</v>
      </c>
      <c r="G83" s="44" t="str">
        <v>Sunita Rao</v>
      </c>
    </row>
    <row r="84" spans="2:7" x14ac:dyDescent="0.2">
      <c r="B84" s="44" t="str">
        <v>Vikram Singh</v>
      </c>
      <c r="C84" s="45">
        <v>46238</v>
      </c>
      <c r="D84" s="44" t="str">
        <v>Debit</v>
      </c>
      <c r="E84" s="46">
        <v>3750</v>
      </c>
      <c r="G84" s="44" t="str">
        <v>Rajan Pillai</v>
      </c>
    </row>
    <row r="85" spans="2:7" x14ac:dyDescent="0.2">
      <c r="B85" s="44" t="str">
        <v>Meena Krishnan</v>
      </c>
      <c r="C85" s="45">
        <v>46243</v>
      </c>
      <c r="D85" s="44" t="str">
        <v>Debit</v>
      </c>
      <c r="E85" s="46">
        <v>2300</v>
      </c>
      <c r="G85" s="44" t="str">
        <v>Pooja Desai</v>
      </c>
    </row>
    <row r="86" spans="2:7" x14ac:dyDescent="0.2">
      <c r="B86" s="44" t="str">
        <v>Geeta Pillai</v>
      </c>
      <c r="C86" s="45">
        <v>46259</v>
      </c>
      <c r="D86" s="44" t="str">
        <v>Debit</v>
      </c>
      <c r="E86" s="46">
        <v>2100</v>
      </c>
      <c r="G86" s="44" t="str">
        <v>Mohan Lal</v>
      </c>
    </row>
    <row r="87" spans="2:7" x14ac:dyDescent="0.2">
      <c r="B87" s="44" t="str">
        <v>Sunita Rao</v>
      </c>
      <c r="C87" s="45">
        <v>46259</v>
      </c>
      <c r="D87" s="44" t="str">
        <v>Debit</v>
      </c>
      <c r="E87" s="46">
        <v>1800</v>
      </c>
      <c r="G87" s="44" t="str">
        <v>Ritu Gupta</v>
      </c>
    </row>
    <row r="88" spans="2:7" x14ac:dyDescent="0.2">
      <c r="B88" s="44" t="str">
        <v>Amit Patel</v>
      </c>
      <c r="C88" s="45">
        <v>46240</v>
      </c>
      <c r="D88" s="44" t="str">
        <v>Debit</v>
      </c>
      <c r="E88" s="46">
        <v>1200.5</v>
      </c>
      <c r="G88" s="44" t="str">
        <v>Lakshmi Rao</v>
      </c>
    </row>
    <row r="89" spans="2:7" x14ac:dyDescent="0.2">
      <c r="B89" s="44" t="str">
        <v>Lakshmi Rao</v>
      </c>
      <c r="C89" s="45">
        <v>46253</v>
      </c>
      <c r="D89" s="44" t="str">
        <v>Debit</v>
      </c>
      <c r="E89" s="46">
        <v>1050</v>
      </c>
      <c r="G89" s="44" t="str">
        <v>Kavya Reddy</v>
      </c>
    </row>
    <row r="90" spans="2:7" x14ac:dyDescent="0.2">
      <c r="B90" s="44" t="str">
        <v>Mohan Lal</v>
      </c>
      <c r="C90" s="45">
        <v>46258</v>
      </c>
      <c r="D90" s="44" t="str">
        <v>Debit</v>
      </c>
      <c r="E90" s="46">
        <v>900</v>
      </c>
      <c r="G90" s="44" t="str">
        <v>Nisha Thomas</v>
      </c>
    </row>
    <row r="91" spans="2:7" x14ac:dyDescent="0.2">
      <c r="B91" s="44" t="str">
        <v>Kavya Reddy</v>
      </c>
      <c r="C91" s="45">
        <v>46245</v>
      </c>
      <c r="D91" s="44" t="str">
        <v>Debit</v>
      </c>
      <c r="E91" s="46">
        <v>750</v>
      </c>
      <c r="G91" s="44" t="str">
        <v>Deepak Verma</v>
      </c>
    </row>
    <row r="92" spans="2:7" x14ac:dyDescent="0.2">
      <c r="B92" s="44" t="str">
        <v>Divya Nambiar</v>
      </c>
      <c r="C92" s="45">
        <v>46255</v>
      </c>
      <c r="D92" s="44" t="str">
        <v>Debit</v>
      </c>
      <c r="E92" s="46">
        <v>600</v>
      </c>
      <c r="G92" s="44" t="str">
        <v>Ananya Iyer</v>
      </c>
    </row>
    <row r="93" spans="2:7" x14ac:dyDescent="0.2">
      <c r="B93" s="44" t="str">
        <v>Ritu Gupta</v>
      </c>
      <c r="C93" s="45">
        <v>46241</v>
      </c>
      <c r="D93" s="44" t="str">
        <v>Debit</v>
      </c>
      <c r="E93" s="46">
        <v>500</v>
      </c>
      <c r="G93" s="44" t="str">
        <v>Geeta Pillai</v>
      </c>
    </row>
    <row r="94" spans="2:7" x14ac:dyDescent="0.2">
      <c r="B94" s="44" t="str">
        <v>Nisha Thomas</v>
      </c>
      <c r="C94" s="45">
        <v>46259</v>
      </c>
      <c r="D94" s="44" t="str">
        <v>Debit</v>
      </c>
      <c r="E94" s="46">
        <v>350</v>
      </c>
      <c r="G94" s="44" t="str">
        <v>Divya Nambiar</v>
      </c>
    </row>
    <row r="95" spans="2:7" x14ac:dyDescent="0.2">
      <c r="B95" s="44" t="str">
        <v>Preethi Menon</v>
      </c>
      <c r="C95" s="45">
        <v>46250</v>
      </c>
      <c r="D95" s="44" t="str">
        <v>Debit</v>
      </c>
      <c r="E95" s="46">
        <v>250</v>
      </c>
      <c r="G95" s="44" t="str">
        <v>Preethi Menon</v>
      </c>
    </row>
    <row r="97" spans="2:3" x14ac:dyDescent="0.2">
      <c r="B97" s="29" t="s">
        <v>400</v>
      </c>
    </row>
    <row r="98" spans="2:3" x14ac:dyDescent="0.2">
      <c r="B98" s="31" t="s">
        <v>401</v>
      </c>
      <c r="C98" s="30" t="s">
        <v>402</v>
      </c>
    </row>
    <row r="99" spans="2:3" x14ac:dyDescent="0.2">
      <c r="B99" s="31" t="s">
        <v>403</v>
      </c>
      <c r="C99" s="30" t="s">
        <v>404</v>
      </c>
    </row>
    <row r="100" spans="2:3" x14ac:dyDescent="0.2">
      <c r="B100" s="31" t="s">
        <v>405</v>
      </c>
      <c r="C100" s="30" t="s">
        <v>406</v>
      </c>
    </row>
    <row r="101" spans="2:3" x14ac:dyDescent="0.2">
      <c r="B101" s="31" t="s">
        <v>407</v>
      </c>
      <c r="C101" s="30" t="s">
        <v>408</v>
      </c>
    </row>
    <row r="102" spans="2:3" x14ac:dyDescent="0.2">
      <c r="B102" s="31" t="s">
        <v>409</v>
      </c>
      <c r="C102" s="58" t="s">
        <v>410</v>
      </c>
    </row>
  </sheetData>
  <mergeCells count="9">
    <mergeCell ref="B58:D58"/>
    <mergeCell ref="B67:E67"/>
    <mergeCell ref="B16:G16"/>
    <mergeCell ref="B1:G1"/>
    <mergeCell ref="B2:G2"/>
    <mergeCell ref="B4:G4"/>
    <mergeCell ref="B13:G13"/>
    <mergeCell ref="B14:G14"/>
    <mergeCell ref="B46:E4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F94C-E875-7E45-94E0-AAD7CE485ACE}">
  <dimension ref="A1:N34"/>
  <sheetViews>
    <sheetView tabSelected="1" workbookViewId="0">
      <selection activeCell="L37" sqref="L37"/>
    </sheetView>
  </sheetViews>
  <sheetFormatPr baseColWidth="10" defaultRowHeight="15" x14ac:dyDescent="0.2"/>
  <cols>
    <col min="10" max="10" width="25.5" customWidth="1"/>
    <col min="14" max="14" width="27" customWidth="1"/>
  </cols>
  <sheetData>
    <row r="1" spans="1:14" ht="19" x14ac:dyDescent="0.25">
      <c r="A1" s="99" t="s">
        <v>414</v>
      </c>
      <c r="B1" s="99"/>
      <c r="C1" s="99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</row>
    <row r="2" spans="1:14" x14ac:dyDescent="0.2">
      <c r="A2" s="101" t="s">
        <v>415</v>
      </c>
      <c r="B2" s="101"/>
      <c r="C2" s="101"/>
      <c r="D2" s="101"/>
      <c r="E2" s="101"/>
      <c r="F2" s="101"/>
      <c r="G2" s="101"/>
      <c r="H2" s="100"/>
      <c r="I2" s="100"/>
      <c r="J2" s="100"/>
      <c r="K2" s="100"/>
      <c r="L2" s="100"/>
      <c r="M2" s="100"/>
      <c r="N2" s="100"/>
    </row>
    <row r="3" spans="1:14" x14ac:dyDescent="0.2">
      <c r="A3" s="100"/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</row>
    <row r="4" spans="1:14" x14ac:dyDescent="0.2">
      <c r="A4" s="102" t="s">
        <v>416</v>
      </c>
      <c r="B4" s="103">
        <v>1</v>
      </c>
      <c r="C4" s="100"/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</row>
    <row r="5" spans="1:14" x14ac:dyDescent="0.2">
      <c r="A5" s="100"/>
      <c r="B5" s="100"/>
      <c r="C5" s="100"/>
      <c r="D5" s="100"/>
      <c r="E5" s="100"/>
      <c r="F5" s="100"/>
      <c r="G5" s="100"/>
      <c r="H5" s="100"/>
      <c r="I5" s="100"/>
      <c r="J5" s="100"/>
      <c r="K5" s="100"/>
      <c r="L5" s="100"/>
      <c r="M5" s="100"/>
      <c r="N5" s="100"/>
    </row>
    <row r="6" spans="1:14" x14ac:dyDescent="0.2">
      <c r="A6" s="104" t="s">
        <v>417</v>
      </c>
      <c r="B6" s="100"/>
      <c r="C6" s="100"/>
      <c r="D6" s="100"/>
      <c r="E6" s="100"/>
      <c r="F6" s="105" t="s">
        <v>418</v>
      </c>
      <c r="G6" s="100"/>
      <c r="H6" s="100"/>
      <c r="I6" s="100"/>
      <c r="J6" s="106" t="s">
        <v>419</v>
      </c>
      <c r="K6" s="100"/>
      <c r="L6" s="100"/>
      <c r="M6" s="100"/>
      <c r="N6" s="100"/>
    </row>
    <row r="7" spans="1:14" x14ac:dyDescent="0.2">
      <c r="A7" s="107" t="s">
        <v>420</v>
      </c>
      <c r="B7" s="107" t="s">
        <v>421</v>
      </c>
      <c r="C7" s="107" t="s">
        <v>422</v>
      </c>
      <c r="D7" s="107" t="s">
        <v>423</v>
      </c>
      <c r="E7" s="100"/>
      <c r="F7" s="108" t="s">
        <v>420</v>
      </c>
      <c r="G7" s="108" t="s">
        <v>424</v>
      </c>
      <c r="H7" s="108" t="s">
        <v>425</v>
      </c>
      <c r="I7" s="108" t="s">
        <v>426</v>
      </c>
      <c r="J7" s="109" t="s">
        <v>420</v>
      </c>
      <c r="K7" s="109" t="s">
        <v>427</v>
      </c>
      <c r="L7" s="109" t="s">
        <v>428</v>
      </c>
      <c r="M7" s="109" t="s">
        <v>429</v>
      </c>
      <c r="N7" s="109" t="s">
        <v>305</v>
      </c>
    </row>
    <row r="8" spans="1:14" x14ac:dyDescent="0.2">
      <c r="A8" s="110" t="s">
        <v>54</v>
      </c>
      <c r="B8" s="111">
        <v>46235</v>
      </c>
      <c r="C8" s="110" t="s">
        <v>50</v>
      </c>
      <c r="D8" s="112">
        <v>15000</v>
      </c>
      <c r="E8" s="100"/>
      <c r="F8" s="113" t="s">
        <v>54</v>
      </c>
      <c r="G8" s="114">
        <v>15000</v>
      </c>
      <c r="H8" s="100" t="s">
        <v>430</v>
      </c>
      <c r="I8" s="100">
        <v>1</v>
      </c>
      <c r="J8" s="100" t="s">
        <v>54</v>
      </c>
      <c r="K8" s="115">
        <v>15000</v>
      </c>
      <c r="L8" s="115">
        <v>15000</v>
      </c>
      <c r="M8" s="116" t="s">
        <v>431</v>
      </c>
      <c r="N8" s="117" t="s">
        <v>432</v>
      </c>
    </row>
    <row r="9" spans="1:14" x14ac:dyDescent="0.2">
      <c r="A9" s="110" t="s">
        <v>64</v>
      </c>
      <c r="B9" s="111">
        <v>46236</v>
      </c>
      <c r="C9" s="110" t="s">
        <v>80</v>
      </c>
      <c r="D9" s="112">
        <v>8500</v>
      </c>
      <c r="E9" s="100"/>
      <c r="F9" s="113" t="s">
        <v>64</v>
      </c>
      <c r="G9" s="114">
        <v>8500</v>
      </c>
      <c r="H9" s="100" t="s">
        <v>430</v>
      </c>
      <c r="I9" s="100">
        <v>1</v>
      </c>
      <c r="J9" s="100" t="s">
        <v>64</v>
      </c>
      <c r="K9" s="115">
        <v>8500</v>
      </c>
      <c r="L9" s="115">
        <v>8500</v>
      </c>
      <c r="M9" s="116" t="s">
        <v>431</v>
      </c>
      <c r="N9" s="117" t="s">
        <v>432</v>
      </c>
    </row>
    <row r="10" spans="1:14" x14ac:dyDescent="0.2">
      <c r="A10" s="110" t="s">
        <v>73</v>
      </c>
      <c r="B10" s="110" t="s">
        <v>70</v>
      </c>
      <c r="C10" s="110" t="s">
        <v>50</v>
      </c>
      <c r="D10" s="112">
        <v>22000</v>
      </c>
      <c r="E10" s="100"/>
      <c r="F10" s="113" t="s">
        <v>73</v>
      </c>
      <c r="G10" s="114">
        <v>22000</v>
      </c>
      <c r="H10" s="100" t="s">
        <v>430</v>
      </c>
      <c r="I10" s="100">
        <v>2</v>
      </c>
      <c r="J10" s="100" t="s">
        <v>73</v>
      </c>
      <c r="K10" s="115">
        <v>22000</v>
      </c>
      <c r="L10" s="115">
        <v>22000</v>
      </c>
      <c r="M10" s="116" t="s">
        <v>431</v>
      </c>
      <c r="N10" s="118" t="s">
        <v>433</v>
      </c>
    </row>
    <row r="11" spans="1:14" x14ac:dyDescent="0.2">
      <c r="A11" s="110" t="s">
        <v>82</v>
      </c>
      <c r="B11" s="111">
        <v>46238</v>
      </c>
      <c r="C11" s="110" t="s">
        <v>80</v>
      </c>
      <c r="D11" s="112">
        <v>3750</v>
      </c>
      <c r="E11" s="100"/>
      <c r="F11" s="113" t="s">
        <v>82</v>
      </c>
      <c r="G11" s="114">
        <v>3750</v>
      </c>
      <c r="H11" s="100" t="s">
        <v>430</v>
      </c>
      <c r="I11" s="100">
        <v>1</v>
      </c>
      <c r="J11" s="100" t="s">
        <v>82</v>
      </c>
      <c r="K11" s="115">
        <v>3750</v>
      </c>
      <c r="L11" s="115">
        <v>3750</v>
      </c>
      <c r="M11" s="116" t="s">
        <v>431</v>
      </c>
      <c r="N11" s="117" t="s">
        <v>432</v>
      </c>
    </row>
    <row r="12" spans="1:14" x14ac:dyDescent="0.2">
      <c r="A12" s="110" t="s">
        <v>73</v>
      </c>
      <c r="B12" s="111">
        <v>46239</v>
      </c>
      <c r="C12" s="110" t="s">
        <v>50</v>
      </c>
      <c r="D12" s="112">
        <v>9800</v>
      </c>
      <c r="E12" s="100"/>
      <c r="F12" s="113" t="s">
        <v>98</v>
      </c>
      <c r="G12" s="114">
        <v>1200.5</v>
      </c>
      <c r="H12" s="100" t="s">
        <v>430</v>
      </c>
      <c r="I12" s="100">
        <v>1</v>
      </c>
      <c r="J12" s="100" t="s">
        <v>73</v>
      </c>
      <c r="K12" s="115">
        <v>9800</v>
      </c>
      <c r="L12" s="115">
        <v>22000</v>
      </c>
      <c r="M12" s="116">
        <v>-12200</v>
      </c>
      <c r="N12" s="118" t="s">
        <v>433</v>
      </c>
    </row>
    <row r="13" spans="1:14" x14ac:dyDescent="0.2">
      <c r="A13" s="110" t="s">
        <v>98</v>
      </c>
      <c r="B13" s="111">
        <v>46240</v>
      </c>
      <c r="C13" s="110" t="s">
        <v>80</v>
      </c>
      <c r="D13" s="112">
        <v>1200.5</v>
      </c>
      <c r="E13" s="100"/>
      <c r="F13" s="113" t="s">
        <v>108</v>
      </c>
      <c r="G13" s="114">
        <v>500</v>
      </c>
      <c r="H13" s="100" t="s">
        <v>430</v>
      </c>
      <c r="I13" s="100">
        <v>1</v>
      </c>
      <c r="J13" s="100" t="s">
        <v>98</v>
      </c>
      <c r="K13" s="115">
        <v>1200.5</v>
      </c>
      <c r="L13" s="115">
        <v>1200.5</v>
      </c>
      <c r="M13" s="116" t="s">
        <v>431</v>
      </c>
      <c r="N13" s="117" t="s">
        <v>432</v>
      </c>
    </row>
    <row r="14" spans="1:14" x14ac:dyDescent="0.2">
      <c r="A14" s="110" t="s">
        <v>108</v>
      </c>
      <c r="B14" s="111">
        <v>46241</v>
      </c>
      <c r="C14" s="110" t="s">
        <v>80</v>
      </c>
      <c r="D14" s="112">
        <v>500</v>
      </c>
      <c r="E14" s="100"/>
      <c r="F14" s="113" t="s">
        <v>116</v>
      </c>
      <c r="G14" s="114">
        <v>45000</v>
      </c>
      <c r="H14" s="100" t="s">
        <v>430</v>
      </c>
      <c r="I14" s="100">
        <v>1</v>
      </c>
      <c r="J14" s="100" t="s">
        <v>108</v>
      </c>
      <c r="K14" s="115">
        <v>500</v>
      </c>
      <c r="L14" s="115">
        <v>500</v>
      </c>
      <c r="M14" s="116" t="s">
        <v>431</v>
      </c>
      <c r="N14" s="117" t="s">
        <v>432</v>
      </c>
    </row>
    <row r="15" spans="1:14" x14ac:dyDescent="0.2">
      <c r="A15" s="110" t="s">
        <v>116</v>
      </c>
      <c r="B15" s="111">
        <v>46242</v>
      </c>
      <c r="C15" s="110" t="s">
        <v>50</v>
      </c>
      <c r="D15" s="112">
        <v>45000</v>
      </c>
      <c r="E15" s="100"/>
      <c r="F15" s="113" t="s">
        <v>124</v>
      </c>
      <c r="G15" s="114">
        <v>2300</v>
      </c>
      <c r="H15" s="100" t="s">
        <v>430</v>
      </c>
      <c r="I15" s="100">
        <v>1</v>
      </c>
      <c r="J15" s="100" t="s">
        <v>116</v>
      </c>
      <c r="K15" s="115">
        <v>45000</v>
      </c>
      <c r="L15" s="115">
        <v>45000</v>
      </c>
      <c r="M15" s="116" t="s">
        <v>431</v>
      </c>
      <c r="N15" s="117" t="s">
        <v>432</v>
      </c>
    </row>
    <row r="16" spans="1:14" x14ac:dyDescent="0.2">
      <c r="A16" s="110" t="s">
        <v>124</v>
      </c>
      <c r="B16" s="111">
        <v>46243</v>
      </c>
      <c r="C16" s="110" t="s">
        <v>80</v>
      </c>
      <c r="D16" s="112">
        <v>2300</v>
      </c>
      <c r="E16" s="100"/>
      <c r="F16" s="113" t="s">
        <v>132</v>
      </c>
      <c r="G16" s="114">
        <v>11500</v>
      </c>
      <c r="H16" s="100" t="s">
        <v>430</v>
      </c>
      <c r="I16" s="100">
        <v>1</v>
      </c>
      <c r="J16" s="100" t="s">
        <v>124</v>
      </c>
      <c r="K16" s="115">
        <v>2300</v>
      </c>
      <c r="L16" s="115">
        <v>2300</v>
      </c>
      <c r="M16" s="116" t="s">
        <v>431</v>
      </c>
      <c r="N16" s="117" t="s">
        <v>432</v>
      </c>
    </row>
    <row r="17" spans="1:14" x14ac:dyDescent="0.2">
      <c r="A17" s="110" t="s">
        <v>132</v>
      </c>
      <c r="B17" s="111">
        <v>46244</v>
      </c>
      <c r="C17" s="110" t="s">
        <v>50</v>
      </c>
      <c r="D17" s="112">
        <v>11000</v>
      </c>
      <c r="E17" s="100"/>
      <c r="F17" s="113" t="s">
        <v>434</v>
      </c>
      <c r="G17" s="114">
        <v>1950</v>
      </c>
      <c r="H17" s="118" t="s">
        <v>435</v>
      </c>
      <c r="I17" s="100">
        <v>0</v>
      </c>
      <c r="J17" s="100" t="s">
        <v>132</v>
      </c>
      <c r="K17" s="115">
        <v>11000</v>
      </c>
      <c r="L17" s="115">
        <v>11500</v>
      </c>
      <c r="M17" s="116">
        <v>-500</v>
      </c>
      <c r="N17" s="119" t="s">
        <v>436</v>
      </c>
    </row>
    <row r="18" spans="1:14" x14ac:dyDescent="0.2">
      <c r="A18" s="110" t="s">
        <v>141</v>
      </c>
      <c r="B18" s="111">
        <v>46245</v>
      </c>
      <c r="C18" s="110" t="s">
        <v>80</v>
      </c>
      <c r="D18" s="112">
        <v>750</v>
      </c>
      <c r="E18" s="100"/>
      <c r="F18" s="100"/>
      <c r="G18" s="100"/>
      <c r="H18" s="100"/>
      <c r="I18" s="100"/>
      <c r="J18" s="100" t="s">
        <v>141</v>
      </c>
      <c r="K18" s="115">
        <v>750</v>
      </c>
      <c r="L18" s="115"/>
      <c r="M18" s="116"/>
      <c r="N18" s="118" t="s">
        <v>437</v>
      </c>
    </row>
    <row r="19" spans="1:14" x14ac:dyDescent="0.2">
      <c r="A19" s="100"/>
      <c r="B19" s="100"/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</row>
    <row r="20" spans="1:14" x14ac:dyDescent="0.2">
      <c r="A20" s="104" t="s">
        <v>438</v>
      </c>
      <c r="B20" s="100"/>
      <c r="C20" s="100"/>
      <c r="D20" s="120" t="s">
        <v>439</v>
      </c>
      <c r="E20" s="100"/>
      <c r="F20" s="100"/>
      <c r="G20" s="100"/>
      <c r="H20" s="100"/>
      <c r="I20" s="100"/>
      <c r="J20" s="100"/>
      <c r="K20" s="100"/>
      <c r="L20" s="100"/>
      <c r="M20" s="100"/>
      <c r="N20" s="100"/>
    </row>
    <row r="21" spans="1:14" x14ac:dyDescent="0.2">
      <c r="A21" s="100" t="s">
        <v>440</v>
      </c>
      <c r="B21" s="115">
        <v>119800.5</v>
      </c>
      <c r="C21" s="100"/>
      <c r="D21" s="121" t="s">
        <v>441</v>
      </c>
      <c r="E21" s="121"/>
      <c r="F21" s="121"/>
      <c r="G21" s="121"/>
      <c r="H21" s="121"/>
      <c r="I21" s="121"/>
      <c r="J21" s="121"/>
      <c r="K21" s="121"/>
      <c r="L21" s="121"/>
      <c r="M21" s="121"/>
      <c r="N21" s="121"/>
    </row>
    <row r="22" spans="1:14" x14ac:dyDescent="0.2">
      <c r="A22" s="100" t="s">
        <v>442</v>
      </c>
      <c r="B22" s="115">
        <v>111700.5</v>
      </c>
      <c r="C22" s="100"/>
      <c r="D22" s="121" t="s">
        <v>443</v>
      </c>
      <c r="E22" s="121"/>
      <c r="F22" s="121"/>
      <c r="G22" s="121"/>
      <c r="H22" s="121"/>
      <c r="I22" s="121"/>
      <c r="J22" s="121"/>
      <c r="K22" s="121"/>
      <c r="L22" s="121"/>
      <c r="M22" s="121"/>
      <c r="N22" s="121"/>
    </row>
    <row r="23" spans="1:14" x14ac:dyDescent="0.2">
      <c r="A23" s="102" t="s">
        <v>444</v>
      </c>
      <c r="B23" s="122" t="s">
        <v>431</v>
      </c>
      <c r="C23" s="100"/>
      <c r="D23" s="121" t="s">
        <v>445</v>
      </c>
      <c r="E23" s="121"/>
      <c r="F23" s="121"/>
      <c r="G23" s="121"/>
      <c r="H23" s="121"/>
      <c r="I23" s="121"/>
      <c r="J23" s="121"/>
      <c r="K23" s="121"/>
      <c r="L23" s="121"/>
      <c r="M23" s="121"/>
      <c r="N23" s="100"/>
    </row>
    <row r="24" spans="1:14" x14ac:dyDescent="0.2">
      <c r="A24" s="100" t="s">
        <v>432</v>
      </c>
      <c r="B24" s="100">
        <v>7</v>
      </c>
      <c r="C24" s="100"/>
      <c r="D24" s="123"/>
      <c r="E24" s="100"/>
      <c r="F24" s="100"/>
      <c r="G24" s="100"/>
      <c r="H24" s="100"/>
      <c r="I24" s="100"/>
      <c r="J24" s="100"/>
      <c r="K24" s="100"/>
      <c r="L24" s="100"/>
      <c r="M24" s="100"/>
      <c r="N24" s="100"/>
    </row>
    <row r="25" spans="1:14" x14ac:dyDescent="0.2">
      <c r="A25" s="100" t="s">
        <v>446</v>
      </c>
      <c r="B25" s="100">
        <v>1</v>
      </c>
      <c r="C25" s="100"/>
      <c r="D25" s="120" t="s">
        <v>447</v>
      </c>
      <c r="E25" s="100"/>
      <c r="F25" s="100"/>
      <c r="G25" s="100"/>
      <c r="H25" s="100"/>
      <c r="I25" s="100"/>
      <c r="J25" s="100"/>
      <c r="K25" s="100"/>
      <c r="L25" s="100"/>
      <c r="M25" s="100"/>
      <c r="N25" s="100"/>
    </row>
    <row r="26" spans="1:14" x14ac:dyDescent="0.2">
      <c r="A26" s="100" t="s">
        <v>437</v>
      </c>
      <c r="B26" s="100">
        <v>1</v>
      </c>
      <c r="C26" s="100"/>
      <c r="D26" s="124" t="s">
        <v>448</v>
      </c>
      <c r="E26" s="124"/>
      <c r="F26" s="124"/>
      <c r="G26" s="124"/>
      <c r="H26" s="124"/>
      <c r="I26" s="124"/>
      <c r="J26" s="124"/>
      <c r="K26" s="100"/>
      <c r="L26" s="100"/>
      <c r="M26" s="100"/>
      <c r="N26" s="100"/>
    </row>
    <row r="27" spans="1:14" x14ac:dyDescent="0.2">
      <c r="A27" s="100" t="s">
        <v>449</v>
      </c>
      <c r="B27" s="100">
        <v>2</v>
      </c>
      <c r="C27" s="100"/>
      <c r="D27" s="124" t="s">
        <v>450</v>
      </c>
      <c r="E27" s="124"/>
      <c r="F27" s="124"/>
      <c r="G27" s="124"/>
      <c r="H27" s="124"/>
      <c r="I27" s="124"/>
      <c r="J27" s="124"/>
      <c r="K27" s="124"/>
      <c r="L27" s="100"/>
      <c r="M27" s="100"/>
      <c r="N27" s="100"/>
    </row>
    <row r="28" spans="1:14" x14ac:dyDescent="0.2">
      <c r="A28" s="100" t="s">
        <v>451</v>
      </c>
      <c r="B28" s="100">
        <v>1</v>
      </c>
      <c r="C28" s="100"/>
      <c r="D28" s="124" t="s">
        <v>452</v>
      </c>
      <c r="E28" s="124"/>
      <c r="F28" s="124"/>
      <c r="G28" s="124"/>
      <c r="H28" s="124"/>
      <c r="I28" s="124"/>
      <c r="J28" s="124"/>
      <c r="K28" s="100"/>
      <c r="L28" s="100"/>
      <c r="M28" s="100"/>
      <c r="N28" s="100"/>
    </row>
    <row r="29" spans="1:14" x14ac:dyDescent="0.2">
      <c r="A29" s="102" t="s">
        <v>453</v>
      </c>
      <c r="B29" s="122">
        <v>8100</v>
      </c>
      <c r="C29" s="100"/>
      <c r="D29" s="124" t="s">
        <v>454</v>
      </c>
      <c r="E29" s="124"/>
      <c r="F29" s="124"/>
      <c r="G29" s="124"/>
      <c r="H29" s="124"/>
      <c r="I29" s="124"/>
      <c r="J29" s="124"/>
      <c r="K29" s="100"/>
      <c r="L29" s="100"/>
      <c r="M29" s="100"/>
      <c r="N29" s="100"/>
    </row>
    <row r="30" spans="1:14" x14ac:dyDescent="0.2">
      <c r="A30" s="100" t="s">
        <v>455</v>
      </c>
      <c r="B30" s="116">
        <v>-500</v>
      </c>
      <c r="C30" s="100"/>
      <c r="D30" s="123"/>
      <c r="E30" s="100"/>
      <c r="F30" s="100"/>
      <c r="G30" s="100"/>
      <c r="H30" s="100"/>
      <c r="I30" s="100"/>
      <c r="J30" s="100"/>
      <c r="K30" s="100"/>
      <c r="L30" s="100"/>
      <c r="M30" s="100"/>
      <c r="N30" s="100"/>
    </row>
    <row r="31" spans="1:14" x14ac:dyDescent="0.2">
      <c r="A31" s="100" t="s">
        <v>456</v>
      </c>
      <c r="B31" s="116">
        <v>750</v>
      </c>
      <c r="C31" s="100"/>
      <c r="D31" s="120" t="s">
        <v>457</v>
      </c>
      <c r="E31" s="100"/>
      <c r="F31" s="100"/>
      <c r="G31" s="100"/>
      <c r="H31" s="100"/>
      <c r="I31" s="100"/>
      <c r="J31" s="100"/>
      <c r="K31" s="100"/>
      <c r="L31" s="100"/>
      <c r="M31" s="100"/>
      <c r="N31" s="100"/>
    </row>
    <row r="32" spans="1:14" x14ac:dyDescent="0.2">
      <c r="A32" s="100" t="s">
        <v>458</v>
      </c>
      <c r="B32" s="116">
        <v>9800</v>
      </c>
      <c r="C32" s="100"/>
      <c r="D32" s="125" t="s">
        <v>459</v>
      </c>
      <c r="E32" s="125"/>
      <c r="F32" s="125"/>
      <c r="G32" s="125"/>
      <c r="H32" s="125"/>
      <c r="I32" s="125"/>
      <c r="J32" s="100"/>
      <c r="K32" s="100"/>
      <c r="L32" s="100"/>
      <c r="M32" s="100"/>
      <c r="N32" s="100"/>
    </row>
    <row r="33" spans="1:14" x14ac:dyDescent="0.2">
      <c r="A33" s="100" t="s">
        <v>460</v>
      </c>
      <c r="B33" s="116">
        <v>-1950</v>
      </c>
      <c r="C33" s="100"/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0"/>
    </row>
    <row r="34" spans="1:14" x14ac:dyDescent="0.2">
      <c r="A34" s="102" t="s">
        <v>461</v>
      </c>
      <c r="B34" s="102" t="s">
        <v>462</v>
      </c>
      <c r="C34" s="102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Cleaned_Data-Practice</vt:lpstr>
      <vt:lpstr>Raw_Data (3)</vt:lpstr>
      <vt:lpstr>Raw_Data-Day1</vt:lpstr>
      <vt:lpstr>Instructions</vt:lpstr>
      <vt:lpstr>Raw_Data</vt:lpstr>
      <vt:lpstr>Cleaned_Data</vt:lpstr>
      <vt:lpstr>Sorting_Lab</vt:lpstr>
      <vt:lpstr>Reconciliation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 Jauhari</cp:lastModifiedBy>
  <cp:revision>0</cp:revision>
  <dcterms:created xsi:type="dcterms:W3CDTF">2026-08-25T16:51:56Z</dcterms:created>
  <dcterms:modified xsi:type="dcterms:W3CDTF">2026-09-12T18:11:19Z</dcterms:modified>
  <dc:language>en-US</dc:language>
</cp:coreProperties>
</file>