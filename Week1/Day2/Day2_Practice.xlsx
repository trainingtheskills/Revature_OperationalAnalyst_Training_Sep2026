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13_ncr:1_{7560292B-7514-4CA5-8C78-2AD76A7F6C5C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Instructions" sheetId="2" r:id="rId1"/>
    <sheet name="Engagement Tracker" sheetId="3" r:id="rId2"/>
    <sheet name="Formula Practice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4" l="1"/>
  <c r="B9" i="4"/>
</calcChain>
</file>

<file path=xl/sharedStrings.xml><?xml version="1.0" encoding="utf-8"?>
<sst xmlns="http://schemas.openxmlformats.org/spreadsheetml/2006/main" count="591" uniqueCount="186">
  <si>
    <t>Day 2 Practice Workbook - Core Formulas</t>
  </si>
  <si>
    <t xml:space="preserve">  - Go to the 'Formula Practice' tab, Section 1.</t>
  </si>
  <si>
    <t xml:space="preserve">  - Write each formula referencing the Engagement Tracker table (e.g. =SUM(Table[Amount Billed])).</t>
  </si>
  <si>
    <t xml:space="preserve">  - Back on 'Engagement Tracker', fill 'Hours Variance %' = (Hours Logged - Budgeted Hours) / Budgeted Hours.</t>
  </si>
  <si>
    <t xml:space="preserve">  - Fill 'Margin %' = (Amount Billed - (Hours Logged * Est. Cost/Hr)) / Amount Billed.</t>
  </si>
  <si>
    <t xml:space="preserve">  - Format both as percentages if they don't already show as %.</t>
  </si>
  <si>
    <t xml:space="preserve">  - Find the Overtime Threshold assumption cell (labeled, yellow fill) near the table.</t>
  </si>
  <si>
    <t xml:space="preserve">  - Fill 'Overtime Hours' = MAX(Hours Logged - Threshold, 0) for every row, using $ to lock the threshold cell so the formula copies down correctly.</t>
  </si>
  <si>
    <t xml:space="preserve">  - Go to 'Formula Practice', Section 2. The example formulas are intentionally broken - do not fix the examples themselves.</t>
  </si>
  <si>
    <t xml:space="preserve">  - In the 'Your Fix' column, write a version of each wrapped in IFERROR(...) that returns a friendly message instead of the raw error.</t>
  </si>
  <si>
    <t xml:space="preserve">  - Back on 'Engagement Tracker', fill 'Validation Flag' with an IF formula that flags problem rows, e.g. IF(Due Date&lt;Start Date,"Check Dates", IF(Hours Logged&lt;=0,"Check Hours","OK")).</t>
  </si>
  <si>
    <t xml:space="preserve">  - Scroll the table and note which Engagement IDs get flagged.</t>
  </si>
  <si>
    <t xml:space="preserve">  - Go to 'Formula Practice', Section 4. These functions are not covered in lecture on purpose.</t>
  </si>
  <si>
    <t xml:space="preserve">  - Use Insert Function (fx, next to the formula bar) or the Formulas ribbon tab to look up how each one works before trying it.</t>
  </si>
  <si>
    <t xml:space="preserve">  - Go to 'Formula Practice', Section 5, and follow the 5 steps to turn a live formula column into a frozen values-only snapshot.</t>
  </si>
  <si>
    <t>Engagement ID</t>
  </si>
  <si>
    <t>Client Name</t>
  </si>
  <si>
    <t>Client Type</t>
  </si>
  <si>
    <t>Engagement Type</t>
  </si>
  <si>
    <t>Analyst Assigned</t>
  </si>
  <si>
    <t>Region</t>
  </si>
  <si>
    <t>Risk Rating</t>
  </si>
  <si>
    <t>Priority</t>
  </si>
  <si>
    <t>Status</t>
  </si>
  <si>
    <t>Start Date</t>
  </si>
  <si>
    <t>Due Date</t>
  </si>
  <si>
    <t>Hours Logged</t>
  </si>
  <si>
    <t>Billable Rate</t>
  </si>
  <si>
    <t>Amount Billed</t>
  </si>
  <si>
    <t>Budgeted Hours</t>
  </si>
  <si>
    <t>Hours Variance %</t>
  </si>
  <si>
    <t>Est. Cost/Hr</t>
  </si>
  <si>
    <t>Margin %</t>
  </si>
  <si>
    <t>Overtime Hours</t>
  </si>
  <si>
    <t>Validation Flag</t>
  </si>
  <si>
    <t>ASSUMPTIONS (use as an absolute reference in your formulas)</t>
  </si>
  <si>
    <t>YOUR TASKS - Day 2 Core Formulas</t>
  </si>
  <si>
    <t>ENG-2001</t>
  </si>
  <si>
    <t>Summit Ridge Financial</t>
  </si>
  <si>
    <t>Fintech Partner</t>
  </si>
  <si>
    <t>Sanctions Screening</t>
  </si>
  <si>
    <t>M. Chen</t>
  </si>
  <si>
    <t>Northeast</t>
  </si>
  <si>
    <t>Medium</t>
  </si>
  <si>
    <t>High</t>
  </si>
  <si>
    <t>In Progress</t>
  </si>
  <si>
    <t>Standard Overtime Threshold (hrs/engagement)</t>
  </si>
  <si>
    <t>ENG-2002</t>
  </si>
  <si>
    <t>Cascade Community Bank</t>
  </si>
  <si>
    <t>Regional Bank</t>
  </si>
  <si>
    <t>Compliance Audit</t>
  </si>
  <si>
    <t>S. Okafor</t>
  </si>
  <si>
    <t>Midwest</t>
  </si>
  <si>
    <t>Low</t>
  </si>
  <si>
    <t>Not Started</t>
  </si>
  <si>
    <t>ENG-2003</t>
  </si>
  <si>
    <t>Fieldstone Credit Union</t>
  </si>
  <si>
    <t>AML Investigation</t>
  </si>
  <si>
    <t>K. Brooks</t>
  </si>
  <si>
    <t>West</t>
  </si>
  <si>
    <t>On Hold</t>
  </si>
  <si>
    <t>ENG-2004</t>
  </si>
  <si>
    <t>Retail Bank</t>
  </si>
  <si>
    <t>Transaction Monitoring</t>
  </si>
  <si>
    <t>Southeast</t>
  </si>
  <si>
    <t>Completed</t>
  </si>
  <si>
    <t>ENG-2005</t>
  </si>
  <si>
    <t>Beacon Point Bank</t>
  </si>
  <si>
    <t>T. Nguyen</t>
  </si>
  <si>
    <t>ENG-2006</t>
  </si>
  <si>
    <t>SAR Filing</t>
  </si>
  <si>
    <t>J. Alvarez</t>
  </si>
  <si>
    <t>ENG-2007</t>
  </si>
  <si>
    <t>ENG-2008</t>
  </si>
  <si>
    <t>Urgent</t>
  </si>
  <si>
    <t>ENG-2009</t>
  </si>
  <si>
    <t>KYC Review</t>
  </si>
  <si>
    <t>ENG-2010</t>
  </si>
  <si>
    <t>ENG-2011</t>
  </si>
  <si>
    <t>Correspondent Bank</t>
  </si>
  <si>
    <t>ENG-2012</t>
  </si>
  <si>
    <t>Credit Union</t>
  </si>
  <si>
    <t>ENG-2013</t>
  </si>
  <si>
    <t>R. Patel</t>
  </si>
  <si>
    <t>ENG-2014</t>
  </si>
  <si>
    <t>ENG-2015</t>
  </si>
  <si>
    <t>Southwest</t>
  </si>
  <si>
    <t>ENG-2016</t>
  </si>
  <si>
    <t>Under Review</t>
  </si>
  <si>
    <t>ENG-2017</t>
  </si>
  <si>
    <t>ENG-2018</t>
  </si>
  <si>
    <t>ENG-2019</t>
  </si>
  <si>
    <t>ENG-2020</t>
  </si>
  <si>
    <t>ENG-2021</t>
  </si>
  <si>
    <t>ENG-2022</t>
  </si>
  <si>
    <t>ENG-2023</t>
  </si>
  <si>
    <t>ENG-2024</t>
  </si>
  <si>
    <t>ENG-2025</t>
  </si>
  <si>
    <t>ENG-2026</t>
  </si>
  <si>
    <t>ENG-2027</t>
  </si>
  <si>
    <t>ENG-2028</t>
  </si>
  <si>
    <t>ENG-2029</t>
  </si>
  <si>
    <t>ENG-2030</t>
  </si>
  <si>
    <t>ENG-2031</t>
  </si>
  <si>
    <t>ENG-2032</t>
  </si>
  <si>
    <t>ENG-2033</t>
  </si>
  <si>
    <t>ENG-2034</t>
  </si>
  <si>
    <t>ENG-2035</t>
  </si>
  <si>
    <t>ENG-2036</t>
  </si>
  <si>
    <t>ENG-2037</t>
  </si>
  <si>
    <t>ENG-2038</t>
  </si>
  <si>
    <t>ENG-2039</t>
  </si>
  <si>
    <t>ENG-2040</t>
  </si>
  <si>
    <t>ENG-2041</t>
  </si>
  <si>
    <t>ENG-2042</t>
  </si>
  <si>
    <t>ENG-2043</t>
  </si>
  <si>
    <t>ENG-2044</t>
  </si>
  <si>
    <t>ENG-2045</t>
  </si>
  <si>
    <t>ENG-2046</t>
  </si>
  <si>
    <t>ENG-2047</t>
  </si>
  <si>
    <t>ENG-2048</t>
  </si>
  <si>
    <t>ENG-2049</t>
  </si>
  <si>
    <t>ENG-2050</t>
  </si>
  <si>
    <t>ENG-2051</t>
  </si>
  <si>
    <t>ENG-2052</t>
  </si>
  <si>
    <t>ENG-2053</t>
  </si>
  <si>
    <t>ENG-2054</t>
  </si>
  <si>
    <t>ENG-2055</t>
  </si>
  <si>
    <t>SECTION 1 - Summary Formulas (write these in column B)</t>
  </si>
  <si>
    <t>Total Amount Billed (SUM)</t>
  </si>
  <si>
    <t>Sum the 'Amount Billed' column on the Engagement Tracker tab.</t>
  </si>
  <si>
    <t>Number of Engagements (COUNT)</t>
  </si>
  <si>
    <t>Count numeric Hours Logged entries on the Engagement Tracker tab.</t>
  </si>
  <si>
    <t>Average Hours Logged (AVERAGE)</t>
  </si>
  <si>
    <t>Average the 'Hours Logged' column.</t>
  </si>
  <si>
    <t>Analysts Assigned - Non-blank Count (COUNTA)</t>
  </si>
  <si>
    <t>Count non-blank cells in 'Analyst Assigned'.</t>
  </si>
  <si>
    <t>SECTION 2 - Error Types (diagnose, then fix in column C using IFERROR)</t>
  </si>
  <si>
    <t>Label</t>
  </si>
  <si>
    <t>Example (already broken - do not edit)</t>
  </si>
  <si>
    <t>Your Fix (wrap with IFERROR)</t>
  </si>
  <si>
    <t>#N/A example (MATCH can't find the value)</t>
  </si>
  <si>
    <t>#VALUE example (text + number)</t>
  </si>
  <si>
    <t>SECTION 3 - Absolute vs. Relative References</t>
  </si>
  <si>
    <t>On the Engagement Tracker tab, the Overtime Threshold lives in a labeled assumption cell ($W$3). Write the 'Overtime Hours' formula so it can be copied down the whole column without the threshold reference shifting rows, e.g. =MAX([@[Hours Logged]] - $W$3, 0) - the $ signs in $W$3 lock that cell so every row still points at the same threshold.</t>
  </si>
  <si>
    <t>SECTION 4 - Bonus Formulas (pick at least 4 of the 11 below)</t>
  </si>
  <si>
    <t>Function / Category</t>
  </si>
  <si>
    <t>What it does</t>
  </si>
  <si>
    <t>Try it here + notes</t>
  </si>
  <si>
    <t>LEFT  (Text)</t>
  </si>
  <si>
    <t>Pulls a set number of characters from the start of a text string. Try pulling just the 'ENG' prefix off an Engagement ID.</t>
  </si>
  <si>
    <t>LEN  (Text)</t>
  </si>
  <si>
    <t>Counts how many characters are in a text string. Check whether every Engagement ID is the same length (a quick data-quality check).</t>
  </si>
  <si>
    <t>CONCATENATE  (Text)</t>
  </si>
  <si>
    <t>Joins two or more pieces of text into one. Combine Client Name and Engagement Type into a single label.</t>
  </si>
  <si>
    <t>AND  (Logical)</t>
  </si>
  <si>
    <t>Returns TRUE only if every condition inside it is TRUE. Flag engagements that are both Risk Rating = High and Priority = Urgent.</t>
  </si>
  <si>
    <t>OR  (Logical)</t>
  </si>
  <si>
    <t>Returns TRUE if at least one condition inside it is TRUE. Flag engagements that are Status = 'On Hold' or Status = 'Not Started'.</t>
  </si>
  <si>
    <t>ROUND  (Math)</t>
  </si>
  <si>
    <t>Rounds a number to however many decimal places you specify. Round Margin % to the nearest whole percent for a cleaner-looking report.</t>
  </si>
  <si>
    <t>TODAY  (Date)</t>
  </si>
  <si>
    <t>Returns today's date, and updates automatically every time the file opens. Build a 'Days Until Due' column using Due Date and TODAY().</t>
  </si>
  <si>
    <t>NETWORKDAYS  (Date)</t>
  </si>
  <si>
    <t>Counts business days (excludes weekends) between two dates. Find how many business days each engagement was actually open (Start Date to Due Date).</t>
  </si>
  <si>
    <t>SUMIF  (Conditional Math)</t>
  </si>
  <si>
    <t>Adds up only the numbers that meet one condition. Total Amount Billed for just one Analyst Assigned, or just one Status.</t>
  </si>
  <si>
    <t>COUNTIF  (Conditional Math)</t>
  </si>
  <si>
    <t>Counts only the cells that meet one condition. Count how many engagements each Risk Rating has.</t>
  </si>
  <si>
    <t>MEDIAN  (Statistical)</t>
  </si>
  <si>
    <t>Finds the middle value in a set of numbers (less skewed by outliers than AVERAGE). Compare the median Hours Logged to the average you already calculated - are they close?</t>
  </si>
  <si>
    <t>SECTION 5 - Copy/Paste Special: Values Only</t>
  </si>
  <si>
    <t>1. On the Engagement Tracker tab, select your completed 'Margin %' column (just the data cells).</t>
  </si>
  <si>
    <t>2. Copy it (Ctrl+C).</t>
  </si>
  <si>
    <t>3. Click a blank cell below, then Paste Special &gt; Values Only (Home &gt; Paste dropdown &gt; Paste Special, or right-click &gt; Paste Special).</t>
  </si>
  <si>
    <t>4. Go back and change one 'Hours Logged' value on the Engagement Tracker tab.</t>
  </si>
  <si>
    <t>5. Watch what happens: the real Margin % column updates, but your pasted copy does not - it's now a static snapshot, not a live formula.</t>
  </si>
  <si>
    <t>TASK 1 - Summary formulas (SUM, COUNT, AVERAGE, COUNTA)</t>
  </si>
  <si>
    <t>TASK 2 - % calculations: variance and margin</t>
  </si>
  <si>
    <t>TASK 3 - Absolute vs. relative references</t>
  </si>
  <si>
    <t>TASK 4 - Error types (#N/A, #VALUE)</t>
  </si>
  <si>
    <t>TASK 5 - Basic validation checks</t>
  </si>
  <si>
    <t>TASK 6 - Bonus formulas (pick at least 4)</t>
  </si>
  <si>
    <t xml:space="preserve">  - Apply at least 4 of the 11 listed formulas - on the Engagement Tracker or right in Section 4</t>
  </si>
  <si>
    <t>TASK 7 - Copy/Paste Special: Values Only</t>
  </si>
  <si>
    <t>Week 1, Tuesday | Work on 'Engagement Tracker' and 'Formula Practice'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</si>
</sst>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3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0.5"/>
      <name val="Arial"/>
      <charset val="1"/>
    </font>
    <font>
      <sz val="11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6"/>
      <name val="Arial"/>
      <charset val="1"/>
    </font>
    <font>
      <sz val="12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  <font>
      <sz val="10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" fontId="10" fillId="2" borderId="0" xfId="0" applyNumberFormat="1" applyFont="1" applyFill="1"/>
    <xf numFmtId="0" fontId="9" fillId="0" borderId="0" xfId="0" applyFon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actice" displayName="tbl_Practice" ref="A1:T56" totalsRowShown="0">
  <autoFilter ref="A1:T56" xr:uid="{00000000-0009-0000-0100-000001000000}"/>
  <tableColumns count="20">
    <tableColumn id="1" xr3:uid="{00000000-0010-0000-0000-000001000000}" name="Engagement ID"/>
    <tableColumn id="2" xr3:uid="{00000000-0010-0000-0000-000002000000}" name="Client Name"/>
    <tableColumn id="3" xr3:uid="{00000000-0010-0000-0000-000003000000}" name="Client Type"/>
    <tableColumn id="4" xr3:uid="{00000000-0010-0000-0000-000004000000}" name="Engagement Type"/>
    <tableColumn id="5" xr3:uid="{00000000-0010-0000-0000-000005000000}" name="Analyst Assigned"/>
    <tableColumn id="6" xr3:uid="{00000000-0010-0000-0000-000006000000}" name="Region"/>
    <tableColumn id="7" xr3:uid="{00000000-0010-0000-0000-000007000000}" name="Risk Rating"/>
    <tableColumn id="8" xr3:uid="{00000000-0010-0000-0000-000008000000}" name="Priority"/>
    <tableColumn id="9" xr3:uid="{00000000-0010-0000-0000-000009000000}" name="Status"/>
    <tableColumn id="10" xr3:uid="{00000000-0010-0000-0000-00000A000000}" name="Start Date"/>
    <tableColumn id="11" xr3:uid="{00000000-0010-0000-0000-00000B000000}" name="Due Date"/>
    <tableColumn id="12" xr3:uid="{00000000-0010-0000-0000-00000C000000}" name="Hours Logged"/>
    <tableColumn id="13" xr3:uid="{00000000-0010-0000-0000-00000D000000}" name="Billable Rate"/>
    <tableColumn id="14" xr3:uid="{00000000-0010-0000-0000-00000E000000}" name="Amount Billed"/>
    <tableColumn id="15" xr3:uid="{00000000-0010-0000-0000-00000F000000}" name="Budgeted Hours"/>
    <tableColumn id="16" xr3:uid="{00000000-0010-0000-0000-000010000000}" name="Hours Variance %"/>
    <tableColumn id="17" xr3:uid="{00000000-0010-0000-0000-000011000000}" name="Est. Cost/Hr"/>
    <tableColumn id="18" xr3:uid="{00000000-0010-0000-0000-000012000000}" name="Margin %"/>
    <tableColumn id="19" xr3:uid="{00000000-0010-0000-0000-000013000000}" name="Overtime Hours"/>
    <tableColumn id="20" xr3:uid="{00000000-0010-0000-0000-000014000000}" name="Validation Fla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zoomScaleNormal="100" workbookViewId="0">
      <selection activeCell="A10" sqref="A10"/>
    </sheetView>
  </sheetViews>
  <sheetFormatPr defaultColWidth="8.6328125" defaultRowHeight="14.5" x14ac:dyDescent="0.35"/>
  <cols>
    <col min="1" max="1" width="100" customWidth="1"/>
  </cols>
  <sheetData>
    <row r="1" spans="1:1" ht="20" x14ac:dyDescent="0.4">
      <c r="A1" s="5" t="s">
        <v>0</v>
      </c>
    </row>
    <row r="2" spans="1:1" ht="15.5" x14ac:dyDescent="0.35">
      <c r="A2" s="6" t="s">
        <v>185</v>
      </c>
    </row>
    <row r="5" spans="1:1" x14ac:dyDescent="0.35">
      <c r="A5" s="4" t="s">
        <v>177</v>
      </c>
    </row>
    <row r="6" spans="1:1" x14ac:dyDescent="0.35">
      <c r="A6" s="3" t="s">
        <v>1</v>
      </c>
    </row>
    <row r="7" spans="1:1" x14ac:dyDescent="0.35">
      <c r="A7" s="3" t="s">
        <v>2</v>
      </c>
    </row>
    <row r="9" spans="1:1" x14ac:dyDescent="0.35">
      <c r="A9" s="4" t="s">
        <v>178</v>
      </c>
    </row>
    <row r="10" spans="1:1" x14ac:dyDescent="0.35">
      <c r="A10" s="3" t="s">
        <v>3</v>
      </c>
    </row>
    <row r="11" spans="1:1" x14ac:dyDescent="0.35">
      <c r="A11" s="3" t="s">
        <v>4</v>
      </c>
    </row>
    <row r="12" spans="1:1" x14ac:dyDescent="0.35">
      <c r="A12" s="3" t="s">
        <v>5</v>
      </c>
    </row>
    <row r="14" spans="1:1" x14ac:dyDescent="0.35">
      <c r="A14" s="4" t="s">
        <v>179</v>
      </c>
    </row>
    <row r="15" spans="1:1" x14ac:dyDescent="0.35">
      <c r="A15" s="3" t="s">
        <v>6</v>
      </c>
    </row>
    <row r="16" spans="1:1" ht="27" x14ac:dyDescent="0.35">
      <c r="A16" s="3" t="s">
        <v>7</v>
      </c>
    </row>
    <row r="18" spans="1:1" x14ac:dyDescent="0.35">
      <c r="A18" s="4" t="s">
        <v>180</v>
      </c>
    </row>
    <row r="19" spans="1:1" ht="27" x14ac:dyDescent="0.35">
      <c r="A19" s="3" t="s">
        <v>8</v>
      </c>
    </row>
    <row r="20" spans="1:1" ht="27" x14ac:dyDescent="0.35">
      <c r="A20" s="3" t="s">
        <v>9</v>
      </c>
    </row>
    <row r="22" spans="1:1" x14ac:dyDescent="0.35">
      <c r="A22" s="4" t="s">
        <v>181</v>
      </c>
    </row>
    <row r="23" spans="1:1" ht="27" x14ac:dyDescent="0.35">
      <c r="A23" s="3" t="s">
        <v>10</v>
      </c>
    </row>
    <row r="24" spans="1:1" x14ac:dyDescent="0.35">
      <c r="A24" s="3" t="s">
        <v>11</v>
      </c>
    </row>
    <row r="26" spans="1:1" x14ac:dyDescent="0.35">
      <c r="A26" s="4" t="s">
        <v>182</v>
      </c>
    </row>
    <row r="27" spans="1:1" x14ac:dyDescent="0.35">
      <c r="A27" s="3" t="s">
        <v>12</v>
      </c>
    </row>
    <row r="28" spans="1:1" ht="27" x14ac:dyDescent="0.35">
      <c r="A28" s="3" t="s">
        <v>13</v>
      </c>
    </row>
    <row r="29" spans="1:1" x14ac:dyDescent="0.35">
      <c r="A29" s="3" t="s">
        <v>183</v>
      </c>
    </row>
    <row r="31" spans="1:1" x14ac:dyDescent="0.35">
      <c r="A31" s="4" t="s">
        <v>184</v>
      </c>
    </row>
    <row r="32" spans="1:1" ht="27" x14ac:dyDescent="0.35">
      <c r="A32" s="3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"/>
  <sheetViews>
    <sheetView topLeftCell="J1" zoomScaleNormal="100" workbookViewId="0">
      <pane ySplit="1" topLeftCell="A2" activePane="bottomLeft" state="frozen"/>
      <selection pane="bottomLeft" activeCell="W15" sqref="W15"/>
    </sheetView>
  </sheetViews>
  <sheetFormatPr defaultColWidth="8.6328125" defaultRowHeight="14.5" x14ac:dyDescent="0.35"/>
  <cols>
    <col min="1" max="1" width="16" customWidth="1"/>
    <col min="2" max="2" width="24" customWidth="1"/>
    <col min="3" max="3" width="16" customWidth="1"/>
    <col min="4" max="4" width="20" customWidth="1"/>
    <col min="5" max="19" width="16" customWidth="1"/>
    <col min="20" max="20" width="22" customWidth="1"/>
    <col min="23" max="23" width="40" customWidth="1"/>
    <col min="25" max="25" width="3" customWidth="1"/>
    <col min="26" max="26" width="62" customWidth="1"/>
  </cols>
  <sheetData>
    <row r="1" spans="1:26" ht="15.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W1" s="7" t="s">
        <v>35</v>
      </c>
      <c r="Z1" s="8" t="s">
        <v>36</v>
      </c>
    </row>
    <row r="2" spans="1:26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s="9">
        <v>46053</v>
      </c>
      <c r="K2" s="9">
        <v>46079</v>
      </c>
      <c r="L2">
        <v>72.900000000000006</v>
      </c>
      <c r="M2" s="10">
        <v>160</v>
      </c>
      <c r="N2" s="10">
        <v>11664</v>
      </c>
      <c r="O2" s="11">
        <v>84</v>
      </c>
      <c r="P2" s="12"/>
      <c r="Q2" s="10">
        <v>97.48</v>
      </c>
      <c r="R2" s="12"/>
      <c r="S2" s="11"/>
      <c r="W2" s="13" t="s">
        <v>46</v>
      </c>
    </row>
    <row r="3" spans="1:26" x14ac:dyDescent="0.3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44</v>
      </c>
      <c r="I3" t="s">
        <v>54</v>
      </c>
      <c r="J3" s="9">
        <v>46134</v>
      </c>
      <c r="K3" s="9">
        <v>46172</v>
      </c>
      <c r="L3">
        <v>12.5</v>
      </c>
      <c r="M3" s="10">
        <v>125</v>
      </c>
      <c r="N3" s="10">
        <v>1562.5</v>
      </c>
      <c r="O3" s="11">
        <v>13.3</v>
      </c>
      <c r="P3" s="12"/>
      <c r="Q3" s="10">
        <v>76.97</v>
      </c>
      <c r="R3" s="12"/>
      <c r="S3" s="11"/>
      <c r="W3" s="14">
        <v>40</v>
      </c>
    </row>
    <row r="4" spans="1:26" x14ac:dyDescent="0.35">
      <c r="A4" t="s">
        <v>55</v>
      </c>
      <c r="B4" t="s">
        <v>56</v>
      </c>
      <c r="C4" t="s">
        <v>39</v>
      </c>
      <c r="D4" t="s">
        <v>57</v>
      </c>
      <c r="E4" t="s">
        <v>58</v>
      </c>
      <c r="F4" t="s">
        <v>59</v>
      </c>
      <c r="G4" t="s">
        <v>44</v>
      </c>
      <c r="H4" t="s">
        <v>43</v>
      </c>
      <c r="I4" t="s">
        <v>60</v>
      </c>
      <c r="J4" s="9">
        <v>46150</v>
      </c>
      <c r="K4" s="9">
        <v>46186</v>
      </c>
      <c r="L4">
        <v>39.299999999999997</v>
      </c>
      <c r="M4" s="10">
        <v>175</v>
      </c>
      <c r="N4" s="10">
        <v>6877.5</v>
      </c>
      <c r="O4" s="11">
        <v>41.1</v>
      </c>
      <c r="P4" s="12"/>
      <c r="Q4" s="10">
        <v>90.03</v>
      </c>
      <c r="R4" s="12"/>
      <c r="S4" s="11"/>
    </row>
    <row r="5" spans="1:26" x14ac:dyDescent="0.35">
      <c r="A5" t="s">
        <v>61</v>
      </c>
      <c r="B5" t="s">
        <v>56</v>
      </c>
      <c r="C5" t="s">
        <v>62</v>
      </c>
      <c r="D5" t="s">
        <v>63</v>
      </c>
      <c r="E5" t="s">
        <v>51</v>
      </c>
      <c r="F5" t="s">
        <v>64</v>
      </c>
      <c r="G5" t="s">
        <v>43</v>
      </c>
      <c r="H5" t="s">
        <v>43</v>
      </c>
      <c r="I5" t="s">
        <v>65</v>
      </c>
      <c r="J5" s="9">
        <v>46113</v>
      </c>
      <c r="K5" s="9">
        <v>46108</v>
      </c>
      <c r="L5">
        <v>44</v>
      </c>
      <c r="M5" s="10">
        <v>125</v>
      </c>
      <c r="N5" s="10">
        <v>5500</v>
      </c>
      <c r="O5" s="11">
        <v>37</v>
      </c>
      <c r="P5" s="12"/>
      <c r="Q5" s="10">
        <v>61.55</v>
      </c>
      <c r="R5" s="12"/>
      <c r="S5" s="11"/>
    </row>
    <row r="6" spans="1:26" x14ac:dyDescent="0.35">
      <c r="A6" t="s">
        <v>66</v>
      </c>
      <c r="B6" t="s">
        <v>67</v>
      </c>
      <c r="C6" t="s">
        <v>49</v>
      </c>
      <c r="D6" t="s">
        <v>63</v>
      </c>
      <c r="E6" t="s">
        <v>68</v>
      </c>
      <c r="F6" t="s">
        <v>52</v>
      </c>
      <c r="G6" t="s">
        <v>43</v>
      </c>
      <c r="H6" t="s">
        <v>43</v>
      </c>
      <c r="I6" t="s">
        <v>45</v>
      </c>
      <c r="J6" s="9">
        <v>46048</v>
      </c>
      <c r="K6" s="9">
        <v>46070</v>
      </c>
      <c r="L6">
        <v>62.3</v>
      </c>
      <c r="M6" s="10">
        <v>140</v>
      </c>
      <c r="N6" s="10">
        <v>8722</v>
      </c>
      <c r="O6" s="11">
        <v>64</v>
      </c>
      <c r="P6" s="12"/>
      <c r="Q6" s="10">
        <v>69.73</v>
      </c>
      <c r="R6" s="12"/>
      <c r="S6" s="11"/>
    </row>
    <row r="7" spans="1:26" x14ac:dyDescent="0.35">
      <c r="A7" t="s">
        <v>69</v>
      </c>
      <c r="B7" t="s">
        <v>38</v>
      </c>
      <c r="C7" t="s">
        <v>39</v>
      </c>
      <c r="D7" t="s">
        <v>70</v>
      </c>
      <c r="E7" t="s">
        <v>71</v>
      </c>
      <c r="F7" t="s">
        <v>42</v>
      </c>
      <c r="G7" t="s">
        <v>53</v>
      </c>
      <c r="H7" t="s">
        <v>43</v>
      </c>
      <c r="I7" t="s">
        <v>45</v>
      </c>
      <c r="J7" s="9">
        <v>46105</v>
      </c>
      <c r="K7" s="9">
        <v>46149</v>
      </c>
      <c r="L7">
        <v>33.9</v>
      </c>
      <c r="M7" s="10">
        <v>160</v>
      </c>
      <c r="N7" s="10">
        <v>5424</v>
      </c>
      <c r="O7" s="11">
        <v>34.4</v>
      </c>
      <c r="P7" s="12"/>
      <c r="Q7" s="10">
        <v>85.62</v>
      </c>
      <c r="R7" s="12"/>
      <c r="S7" s="11"/>
    </row>
    <row r="8" spans="1:26" x14ac:dyDescent="0.35">
      <c r="A8" t="s">
        <v>72</v>
      </c>
      <c r="B8" t="s">
        <v>67</v>
      </c>
      <c r="C8" t="s">
        <v>49</v>
      </c>
      <c r="D8" t="s">
        <v>40</v>
      </c>
      <c r="E8" t="s">
        <v>51</v>
      </c>
      <c r="F8" t="s">
        <v>52</v>
      </c>
      <c r="G8" t="s">
        <v>53</v>
      </c>
      <c r="H8" t="s">
        <v>53</v>
      </c>
      <c r="I8" t="s">
        <v>45</v>
      </c>
      <c r="J8" s="9">
        <v>46107</v>
      </c>
      <c r="K8" s="9">
        <v>46121</v>
      </c>
      <c r="L8">
        <v>64.2</v>
      </c>
      <c r="M8" s="10">
        <v>175</v>
      </c>
      <c r="N8" s="10">
        <v>11235</v>
      </c>
      <c r="O8" s="11">
        <v>54.1</v>
      </c>
      <c r="P8" s="12"/>
      <c r="Q8" s="10">
        <v>86.32</v>
      </c>
      <c r="R8" s="12"/>
      <c r="S8" s="11"/>
    </row>
    <row r="9" spans="1:26" x14ac:dyDescent="0.35">
      <c r="A9" t="s">
        <v>73</v>
      </c>
      <c r="B9" t="s">
        <v>38</v>
      </c>
      <c r="C9" t="s">
        <v>49</v>
      </c>
      <c r="D9" t="s">
        <v>40</v>
      </c>
      <c r="E9" t="s">
        <v>68</v>
      </c>
      <c r="F9" t="s">
        <v>59</v>
      </c>
      <c r="G9" t="s">
        <v>43</v>
      </c>
      <c r="H9" t="s">
        <v>74</v>
      </c>
      <c r="I9" t="s">
        <v>45</v>
      </c>
      <c r="J9" s="9">
        <v>46102</v>
      </c>
      <c r="K9" s="9">
        <v>46123</v>
      </c>
      <c r="L9">
        <v>33.200000000000003</v>
      </c>
      <c r="M9" s="10">
        <v>125</v>
      </c>
      <c r="N9" s="10">
        <v>4150</v>
      </c>
      <c r="O9" s="11">
        <v>25.1</v>
      </c>
      <c r="P9" s="12"/>
      <c r="Q9" s="10">
        <v>69.599999999999994</v>
      </c>
      <c r="R9" s="12"/>
      <c r="S9" s="11"/>
    </row>
    <row r="10" spans="1:26" x14ac:dyDescent="0.35">
      <c r="A10" t="s">
        <v>75</v>
      </c>
      <c r="B10" t="s">
        <v>67</v>
      </c>
      <c r="C10" t="s">
        <v>62</v>
      </c>
      <c r="D10" t="s">
        <v>76</v>
      </c>
      <c r="E10" t="s">
        <v>68</v>
      </c>
      <c r="F10" t="s">
        <v>52</v>
      </c>
      <c r="G10" t="s">
        <v>43</v>
      </c>
      <c r="H10" t="s">
        <v>53</v>
      </c>
      <c r="I10" t="s">
        <v>65</v>
      </c>
      <c r="J10" s="9">
        <v>46053</v>
      </c>
      <c r="K10" s="9">
        <v>46060</v>
      </c>
      <c r="L10">
        <v>50.5</v>
      </c>
      <c r="M10" s="10">
        <v>140</v>
      </c>
      <c r="N10" s="10">
        <v>7070</v>
      </c>
      <c r="O10" s="11">
        <v>50</v>
      </c>
      <c r="P10" s="12"/>
      <c r="Q10" s="10">
        <v>72.540000000000006</v>
      </c>
      <c r="R10" s="12"/>
      <c r="S10" s="11"/>
    </row>
    <row r="11" spans="1:26" x14ac:dyDescent="0.35">
      <c r="A11" t="s">
        <v>77</v>
      </c>
      <c r="B11" t="s">
        <v>48</v>
      </c>
      <c r="C11" t="s">
        <v>49</v>
      </c>
      <c r="D11" t="s">
        <v>70</v>
      </c>
      <c r="E11" t="s">
        <v>71</v>
      </c>
      <c r="F11" t="s">
        <v>42</v>
      </c>
      <c r="G11" t="s">
        <v>43</v>
      </c>
      <c r="H11" t="s">
        <v>53</v>
      </c>
      <c r="I11" t="s">
        <v>54</v>
      </c>
      <c r="J11" s="9">
        <v>46065</v>
      </c>
      <c r="K11" s="9">
        <v>46081</v>
      </c>
      <c r="L11">
        <v>0</v>
      </c>
      <c r="M11" s="10">
        <v>125</v>
      </c>
      <c r="N11" s="10">
        <v>8712.5</v>
      </c>
      <c r="O11" s="11">
        <v>55.2</v>
      </c>
      <c r="P11" s="12"/>
      <c r="Q11" s="10">
        <v>62.45</v>
      </c>
      <c r="R11" s="12"/>
      <c r="S11" s="11"/>
    </row>
    <row r="12" spans="1:26" x14ac:dyDescent="0.35">
      <c r="A12" t="s">
        <v>78</v>
      </c>
      <c r="B12" t="s">
        <v>38</v>
      </c>
      <c r="C12" t="s">
        <v>79</v>
      </c>
      <c r="D12" t="s">
        <v>50</v>
      </c>
      <c r="E12" t="s">
        <v>68</v>
      </c>
      <c r="F12" t="s">
        <v>64</v>
      </c>
      <c r="G12" t="s">
        <v>43</v>
      </c>
      <c r="H12" t="s">
        <v>43</v>
      </c>
      <c r="I12" t="s">
        <v>65</v>
      </c>
      <c r="J12" s="9">
        <v>46103</v>
      </c>
      <c r="K12" s="9">
        <v>46147</v>
      </c>
      <c r="L12">
        <v>84.2</v>
      </c>
      <c r="M12" s="10">
        <v>125</v>
      </c>
      <c r="N12" s="10">
        <v>10525</v>
      </c>
      <c r="O12" s="11">
        <v>87.1</v>
      </c>
      <c r="P12" s="12"/>
      <c r="Q12" s="10">
        <v>57.76</v>
      </c>
      <c r="R12" s="12"/>
      <c r="S12" s="11"/>
    </row>
    <row r="13" spans="1:26" x14ac:dyDescent="0.35">
      <c r="A13" t="s">
        <v>80</v>
      </c>
      <c r="B13" t="s">
        <v>48</v>
      </c>
      <c r="C13" t="s">
        <v>81</v>
      </c>
      <c r="D13" t="s">
        <v>40</v>
      </c>
      <c r="E13" t="s">
        <v>41</v>
      </c>
      <c r="F13" t="s">
        <v>52</v>
      </c>
      <c r="G13" t="s">
        <v>43</v>
      </c>
      <c r="H13" t="s">
        <v>53</v>
      </c>
      <c r="I13" t="s">
        <v>45</v>
      </c>
      <c r="J13" s="9">
        <v>46168</v>
      </c>
      <c r="K13" s="9">
        <v>46179</v>
      </c>
      <c r="L13">
        <v>16.7</v>
      </c>
      <c r="M13" s="10">
        <v>140</v>
      </c>
      <c r="N13" s="10">
        <v>2338</v>
      </c>
      <c r="O13" s="11">
        <v>16.3</v>
      </c>
      <c r="P13" s="12"/>
      <c r="Q13" s="10">
        <v>79.63</v>
      </c>
      <c r="R13" s="12"/>
      <c r="S13" s="11"/>
    </row>
    <row r="14" spans="1:26" x14ac:dyDescent="0.35">
      <c r="A14" t="s">
        <v>82</v>
      </c>
      <c r="B14" t="s">
        <v>67</v>
      </c>
      <c r="C14" t="s">
        <v>62</v>
      </c>
      <c r="D14" t="s">
        <v>57</v>
      </c>
      <c r="E14" t="s">
        <v>83</v>
      </c>
      <c r="F14" t="s">
        <v>52</v>
      </c>
      <c r="G14" t="s">
        <v>43</v>
      </c>
      <c r="H14" t="s">
        <v>43</v>
      </c>
      <c r="I14" t="s">
        <v>45</v>
      </c>
      <c r="J14" s="9">
        <v>46094</v>
      </c>
      <c r="K14" s="9">
        <v>46138</v>
      </c>
      <c r="L14">
        <v>57.6</v>
      </c>
      <c r="M14" s="10">
        <v>110</v>
      </c>
      <c r="N14" s="10">
        <v>6336</v>
      </c>
      <c r="O14" s="11">
        <v>55.4</v>
      </c>
      <c r="P14" s="12"/>
      <c r="Q14" s="10">
        <v>61.48</v>
      </c>
      <c r="R14" s="12"/>
      <c r="S14" s="11"/>
    </row>
    <row r="15" spans="1:26" x14ac:dyDescent="0.35">
      <c r="A15" t="s">
        <v>84</v>
      </c>
      <c r="B15" t="s">
        <v>56</v>
      </c>
      <c r="C15" t="s">
        <v>49</v>
      </c>
      <c r="D15" t="s">
        <v>57</v>
      </c>
      <c r="E15" t="s">
        <v>71</v>
      </c>
      <c r="F15" t="s">
        <v>42</v>
      </c>
      <c r="G15" t="s">
        <v>53</v>
      </c>
      <c r="H15" t="s">
        <v>43</v>
      </c>
      <c r="I15" t="s">
        <v>60</v>
      </c>
      <c r="J15" s="9">
        <v>46100</v>
      </c>
      <c r="K15" s="9">
        <v>46135</v>
      </c>
      <c r="L15">
        <v>14.1</v>
      </c>
      <c r="M15" s="10">
        <v>175</v>
      </c>
      <c r="N15" s="10">
        <v>2467.5</v>
      </c>
      <c r="O15" s="11">
        <v>12.7</v>
      </c>
      <c r="P15" s="12"/>
      <c r="Q15" s="10">
        <v>92.84</v>
      </c>
      <c r="R15" s="12"/>
      <c r="S15" s="11"/>
    </row>
    <row r="16" spans="1:26" x14ac:dyDescent="0.35">
      <c r="A16" t="s">
        <v>85</v>
      </c>
      <c r="B16" t="s">
        <v>67</v>
      </c>
      <c r="C16" t="s">
        <v>79</v>
      </c>
      <c r="D16" t="s">
        <v>50</v>
      </c>
      <c r="E16" t="s">
        <v>51</v>
      </c>
      <c r="F16" t="s">
        <v>86</v>
      </c>
      <c r="G16" t="s">
        <v>53</v>
      </c>
      <c r="H16" t="s">
        <v>53</v>
      </c>
      <c r="I16" t="s">
        <v>65</v>
      </c>
      <c r="J16" s="9">
        <v>46109</v>
      </c>
      <c r="K16" s="9">
        <v>46154</v>
      </c>
      <c r="L16">
        <v>24.3</v>
      </c>
      <c r="M16" s="10">
        <v>95</v>
      </c>
      <c r="N16" s="10">
        <v>2308.5</v>
      </c>
      <c r="O16" s="11">
        <v>21</v>
      </c>
      <c r="P16" s="12"/>
      <c r="Q16" s="10">
        <v>55.56</v>
      </c>
      <c r="R16" s="12"/>
      <c r="S16" s="11"/>
    </row>
    <row r="17" spans="1:19" x14ac:dyDescent="0.35">
      <c r="A17" t="s">
        <v>87</v>
      </c>
      <c r="B17" t="s">
        <v>48</v>
      </c>
      <c r="C17" t="s">
        <v>49</v>
      </c>
      <c r="D17" t="s">
        <v>50</v>
      </c>
      <c r="E17" t="s">
        <v>71</v>
      </c>
      <c r="F17" t="s">
        <v>64</v>
      </c>
      <c r="G17" t="s">
        <v>43</v>
      </c>
      <c r="H17" t="s">
        <v>44</v>
      </c>
      <c r="I17" t="s">
        <v>88</v>
      </c>
      <c r="J17" s="9">
        <v>46073</v>
      </c>
      <c r="K17" s="9">
        <v>46117</v>
      </c>
      <c r="L17">
        <v>39.299999999999997</v>
      </c>
      <c r="M17" s="10">
        <v>140</v>
      </c>
      <c r="N17" s="10">
        <v>5502</v>
      </c>
      <c r="O17" s="11">
        <v>48.5</v>
      </c>
      <c r="P17" s="12"/>
      <c r="Q17" s="10">
        <v>76.16</v>
      </c>
      <c r="R17" s="12"/>
      <c r="S17" s="11"/>
    </row>
    <row r="18" spans="1:19" x14ac:dyDescent="0.35">
      <c r="A18" t="s">
        <v>89</v>
      </c>
      <c r="B18" t="s">
        <v>38</v>
      </c>
      <c r="C18" t="s">
        <v>49</v>
      </c>
      <c r="D18" t="s">
        <v>63</v>
      </c>
      <c r="E18" t="s">
        <v>58</v>
      </c>
      <c r="F18" t="s">
        <v>42</v>
      </c>
      <c r="G18" t="s">
        <v>44</v>
      </c>
      <c r="H18" t="s">
        <v>43</v>
      </c>
      <c r="I18" t="s">
        <v>65</v>
      </c>
      <c r="J18" s="9">
        <v>46100</v>
      </c>
      <c r="K18" s="9">
        <v>46132</v>
      </c>
      <c r="L18">
        <v>69.900000000000006</v>
      </c>
      <c r="M18" s="10">
        <v>160</v>
      </c>
      <c r="N18" s="10">
        <v>11184</v>
      </c>
      <c r="O18" s="11">
        <v>53.7</v>
      </c>
      <c r="P18" s="12"/>
      <c r="Q18" s="10">
        <v>74.819999999999993</v>
      </c>
      <c r="R18" s="12"/>
      <c r="S18" s="11"/>
    </row>
    <row r="19" spans="1:19" x14ac:dyDescent="0.35">
      <c r="A19" t="s">
        <v>90</v>
      </c>
      <c r="B19" t="s">
        <v>67</v>
      </c>
      <c r="C19" t="s">
        <v>49</v>
      </c>
      <c r="D19" t="s">
        <v>76</v>
      </c>
      <c r="E19" t="s">
        <v>51</v>
      </c>
      <c r="F19" t="s">
        <v>59</v>
      </c>
      <c r="G19" t="s">
        <v>44</v>
      </c>
      <c r="H19" t="s">
        <v>53</v>
      </c>
      <c r="I19" t="s">
        <v>60</v>
      </c>
      <c r="J19" s="9">
        <v>46145</v>
      </c>
      <c r="K19" s="9">
        <v>46178</v>
      </c>
      <c r="L19">
        <v>8.4</v>
      </c>
      <c r="M19" s="10">
        <v>160</v>
      </c>
      <c r="N19" s="10">
        <v>1344</v>
      </c>
      <c r="O19" s="11">
        <v>7.8</v>
      </c>
      <c r="P19" s="12"/>
      <c r="Q19" s="10">
        <v>96.21</v>
      </c>
      <c r="R19" s="12"/>
      <c r="S19" s="11"/>
    </row>
    <row r="20" spans="1:19" x14ac:dyDescent="0.35">
      <c r="A20" t="s">
        <v>91</v>
      </c>
      <c r="B20" t="s">
        <v>38</v>
      </c>
      <c r="C20" t="s">
        <v>62</v>
      </c>
      <c r="D20" t="s">
        <v>57</v>
      </c>
      <c r="E20" t="s">
        <v>83</v>
      </c>
      <c r="F20" t="s">
        <v>59</v>
      </c>
      <c r="G20" t="s">
        <v>53</v>
      </c>
      <c r="H20" t="s">
        <v>43</v>
      </c>
      <c r="I20" t="s">
        <v>65</v>
      </c>
      <c r="J20" s="9">
        <v>46058</v>
      </c>
      <c r="K20" s="9">
        <v>46066</v>
      </c>
      <c r="L20">
        <v>82.8</v>
      </c>
      <c r="M20" s="10">
        <v>160</v>
      </c>
      <c r="N20" s="10">
        <v>13248</v>
      </c>
      <c r="O20" s="11">
        <v>95.2</v>
      </c>
      <c r="P20" s="12"/>
      <c r="Q20" s="10">
        <v>94.71</v>
      </c>
      <c r="R20" s="12"/>
      <c r="S20" s="11"/>
    </row>
    <row r="21" spans="1:19" x14ac:dyDescent="0.35">
      <c r="A21" t="s">
        <v>92</v>
      </c>
      <c r="B21" t="s">
        <v>67</v>
      </c>
      <c r="C21" t="s">
        <v>79</v>
      </c>
      <c r="D21" t="s">
        <v>76</v>
      </c>
      <c r="E21" t="s">
        <v>68</v>
      </c>
      <c r="F21" t="s">
        <v>86</v>
      </c>
      <c r="G21" t="s">
        <v>53</v>
      </c>
      <c r="H21" t="s">
        <v>74</v>
      </c>
      <c r="I21" t="s">
        <v>54</v>
      </c>
      <c r="J21" s="9">
        <v>46145</v>
      </c>
      <c r="K21" s="9">
        <v>46159</v>
      </c>
      <c r="L21">
        <v>56.5</v>
      </c>
      <c r="M21" s="10">
        <v>110</v>
      </c>
      <c r="N21" s="10">
        <v>6215</v>
      </c>
      <c r="O21" s="11">
        <v>56.5</v>
      </c>
      <c r="P21" s="12"/>
      <c r="Q21" s="10">
        <v>65.27</v>
      </c>
      <c r="R21" s="12"/>
      <c r="S21" s="11"/>
    </row>
    <row r="22" spans="1:19" x14ac:dyDescent="0.35">
      <c r="A22" t="s">
        <v>93</v>
      </c>
      <c r="B22" t="s">
        <v>67</v>
      </c>
      <c r="C22" t="s">
        <v>39</v>
      </c>
      <c r="D22" t="s">
        <v>70</v>
      </c>
      <c r="E22" t="s">
        <v>51</v>
      </c>
      <c r="F22" t="s">
        <v>64</v>
      </c>
      <c r="G22" t="s">
        <v>43</v>
      </c>
      <c r="H22" t="s">
        <v>53</v>
      </c>
      <c r="I22" t="s">
        <v>45</v>
      </c>
      <c r="J22" s="9">
        <v>46180</v>
      </c>
      <c r="K22" s="9">
        <v>46219</v>
      </c>
      <c r="L22">
        <v>64.400000000000006</v>
      </c>
      <c r="M22" s="10">
        <v>110</v>
      </c>
      <c r="N22" s="10">
        <v>7084</v>
      </c>
      <c r="O22" s="11">
        <v>76.099999999999994</v>
      </c>
      <c r="P22" s="12"/>
      <c r="Q22" s="10">
        <v>55.58</v>
      </c>
      <c r="R22" s="12"/>
      <c r="S22" s="11"/>
    </row>
    <row r="23" spans="1:19" x14ac:dyDescent="0.35">
      <c r="A23" t="s">
        <v>94</v>
      </c>
      <c r="B23" t="s">
        <v>38</v>
      </c>
      <c r="C23" t="s">
        <v>49</v>
      </c>
      <c r="D23" t="s">
        <v>50</v>
      </c>
      <c r="E23" t="s">
        <v>83</v>
      </c>
      <c r="F23" t="s">
        <v>42</v>
      </c>
      <c r="G23" t="s">
        <v>53</v>
      </c>
      <c r="H23" t="s">
        <v>43</v>
      </c>
      <c r="I23" t="s">
        <v>60</v>
      </c>
      <c r="J23" s="9">
        <v>46175</v>
      </c>
      <c r="K23" s="9">
        <v>46213</v>
      </c>
      <c r="L23">
        <v>74.099999999999994</v>
      </c>
      <c r="M23" s="10">
        <v>140</v>
      </c>
      <c r="N23" s="10">
        <v>10374</v>
      </c>
      <c r="O23" s="11">
        <v>75.5</v>
      </c>
      <c r="P23" s="12"/>
      <c r="Q23" s="10">
        <v>72.66</v>
      </c>
      <c r="R23" s="12"/>
      <c r="S23" s="11"/>
    </row>
    <row r="24" spans="1:19" x14ac:dyDescent="0.35">
      <c r="A24" t="s">
        <v>95</v>
      </c>
      <c r="B24" t="s">
        <v>38</v>
      </c>
      <c r="C24" t="s">
        <v>39</v>
      </c>
      <c r="D24" t="s">
        <v>63</v>
      </c>
      <c r="E24" t="s">
        <v>41</v>
      </c>
      <c r="F24" t="s">
        <v>64</v>
      </c>
      <c r="G24" t="s">
        <v>43</v>
      </c>
      <c r="H24" t="s">
        <v>53</v>
      </c>
      <c r="I24" t="s">
        <v>65</v>
      </c>
      <c r="J24" s="9">
        <v>46038</v>
      </c>
      <c r="K24" s="9">
        <v>46065</v>
      </c>
      <c r="L24">
        <v>64.3</v>
      </c>
      <c r="M24" s="10">
        <v>175</v>
      </c>
      <c r="N24" s="10">
        <v>11252.5</v>
      </c>
      <c r="O24" s="11">
        <v>77.599999999999994</v>
      </c>
      <c r="P24" s="12"/>
      <c r="Q24" s="10">
        <v>92.09</v>
      </c>
      <c r="R24" s="12"/>
      <c r="S24" s="11"/>
    </row>
    <row r="25" spans="1:19" x14ac:dyDescent="0.35">
      <c r="A25" t="s">
        <v>96</v>
      </c>
      <c r="B25" t="s">
        <v>56</v>
      </c>
      <c r="C25" t="s">
        <v>39</v>
      </c>
      <c r="D25" t="s">
        <v>76</v>
      </c>
      <c r="E25" t="s">
        <v>41</v>
      </c>
      <c r="F25" t="s">
        <v>59</v>
      </c>
      <c r="G25" t="s">
        <v>44</v>
      </c>
      <c r="H25" t="s">
        <v>43</v>
      </c>
      <c r="I25" t="s">
        <v>54</v>
      </c>
      <c r="J25" s="9">
        <v>46139</v>
      </c>
      <c r="K25" s="9">
        <v>46152</v>
      </c>
      <c r="L25">
        <v>46.6</v>
      </c>
      <c r="M25" s="10">
        <v>140</v>
      </c>
      <c r="N25" s="10">
        <v>6524</v>
      </c>
      <c r="O25" s="11">
        <v>35.299999999999997</v>
      </c>
      <c r="P25" s="12"/>
      <c r="Q25" s="10">
        <v>67.040000000000006</v>
      </c>
      <c r="R25" s="12"/>
      <c r="S25" s="11"/>
    </row>
    <row r="26" spans="1:19" x14ac:dyDescent="0.35">
      <c r="A26" t="s">
        <v>97</v>
      </c>
      <c r="B26" t="s">
        <v>56</v>
      </c>
      <c r="C26" t="s">
        <v>62</v>
      </c>
      <c r="D26" t="s">
        <v>70</v>
      </c>
      <c r="E26" t="s">
        <v>83</v>
      </c>
      <c r="F26" t="s">
        <v>52</v>
      </c>
      <c r="G26" t="s">
        <v>43</v>
      </c>
      <c r="H26" t="s">
        <v>43</v>
      </c>
      <c r="I26" t="s">
        <v>54</v>
      </c>
      <c r="J26" s="9">
        <v>46111</v>
      </c>
      <c r="K26" s="9">
        <v>46152</v>
      </c>
      <c r="L26">
        <v>34.799999999999997</v>
      </c>
      <c r="M26" s="10">
        <v>125</v>
      </c>
      <c r="N26" s="10">
        <v>4350</v>
      </c>
      <c r="O26" s="11">
        <v>37</v>
      </c>
      <c r="P26" s="12"/>
      <c r="Q26" s="10">
        <v>78.44</v>
      </c>
      <c r="R26" s="12"/>
      <c r="S26" s="11"/>
    </row>
    <row r="27" spans="1:19" x14ac:dyDescent="0.35">
      <c r="A27" t="s">
        <v>98</v>
      </c>
      <c r="B27" t="s">
        <v>38</v>
      </c>
      <c r="C27" t="s">
        <v>79</v>
      </c>
      <c r="D27" t="s">
        <v>76</v>
      </c>
      <c r="E27" t="s">
        <v>68</v>
      </c>
      <c r="F27" t="s">
        <v>42</v>
      </c>
      <c r="G27" t="s">
        <v>53</v>
      </c>
      <c r="H27" t="s">
        <v>44</v>
      </c>
      <c r="I27" t="s">
        <v>88</v>
      </c>
      <c r="J27" s="9">
        <v>46085</v>
      </c>
      <c r="K27" s="9">
        <v>46097</v>
      </c>
      <c r="L27">
        <v>39.200000000000003</v>
      </c>
      <c r="M27" s="10">
        <v>95</v>
      </c>
      <c r="N27" s="10">
        <v>3724</v>
      </c>
      <c r="O27" s="11">
        <v>44.3</v>
      </c>
      <c r="P27" s="12"/>
      <c r="Q27" s="10">
        <v>56.12</v>
      </c>
      <c r="R27" s="12"/>
      <c r="S27" s="11"/>
    </row>
    <row r="28" spans="1:19" x14ac:dyDescent="0.35">
      <c r="A28" t="s">
        <v>99</v>
      </c>
      <c r="B28" t="s">
        <v>48</v>
      </c>
      <c r="C28" t="s">
        <v>39</v>
      </c>
      <c r="D28" t="s">
        <v>57</v>
      </c>
      <c r="E28" t="s">
        <v>58</v>
      </c>
      <c r="F28" t="s">
        <v>52</v>
      </c>
      <c r="G28" t="s">
        <v>44</v>
      </c>
      <c r="H28" t="s">
        <v>53</v>
      </c>
      <c r="I28" t="s">
        <v>54</v>
      </c>
      <c r="J28" s="9">
        <v>46102</v>
      </c>
      <c r="K28" s="9">
        <v>46131</v>
      </c>
      <c r="L28">
        <v>34.4</v>
      </c>
      <c r="M28" s="10">
        <v>110</v>
      </c>
      <c r="N28" s="10">
        <v>3784</v>
      </c>
      <c r="O28" s="11">
        <v>30</v>
      </c>
      <c r="P28" s="12"/>
      <c r="Q28" s="10">
        <v>58.57</v>
      </c>
      <c r="R28" s="12"/>
      <c r="S28" s="11"/>
    </row>
    <row r="29" spans="1:19" x14ac:dyDescent="0.35">
      <c r="A29" t="s">
        <v>100</v>
      </c>
      <c r="B29" t="s">
        <v>56</v>
      </c>
      <c r="C29" t="s">
        <v>81</v>
      </c>
      <c r="D29" t="s">
        <v>57</v>
      </c>
      <c r="E29" t="s">
        <v>71</v>
      </c>
      <c r="F29" t="s">
        <v>59</v>
      </c>
      <c r="G29" t="s">
        <v>44</v>
      </c>
      <c r="H29" t="s">
        <v>44</v>
      </c>
      <c r="I29" t="s">
        <v>45</v>
      </c>
      <c r="J29" s="9">
        <v>46154</v>
      </c>
      <c r="K29" s="9">
        <v>46198</v>
      </c>
      <c r="L29">
        <v>15.6</v>
      </c>
      <c r="M29" s="10">
        <v>140</v>
      </c>
      <c r="N29" s="10">
        <v>2184</v>
      </c>
      <c r="O29" s="11">
        <v>16.7</v>
      </c>
      <c r="P29" s="12"/>
      <c r="Q29" s="10">
        <v>75.87</v>
      </c>
      <c r="R29" s="12"/>
      <c r="S29" s="11"/>
    </row>
    <row r="30" spans="1:19" x14ac:dyDescent="0.35">
      <c r="A30" t="s">
        <v>101</v>
      </c>
      <c r="B30" t="s">
        <v>48</v>
      </c>
      <c r="C30" t="s">
        <v>39</v>
      </c>
      <c r="D30" t="s">
        <v>63</v>
      </c>
      <c r="E30" t="s">
        <v>58</v>
      </c>
      <c r="F30" t="s">
        <v>59</v>
      </c>
      <c r="G30" t="s">
        <v>53</v>
      </c>
      <c r="H30" t="s">
        <v>43</v>
      </c>
      <c r="I30" t="s">
        <v>88</v>
      </c>
      <c r="J30" s="9">
        <v>46177</v>
      </c>
      <c r="K30" s="9">
        <v>46203</v>
      </c>
      <c r="L30">
        <v>55.8</v>
      </c>
      <c r="M30" s="10">
        <v>140</v>
      </c>
      <c r="N30" s="10">
        <v>7812</v>
      </c>
      <c r="O30" s="11">
        <v>61.1</v>
      </c>
      <c r="P30" s="12"/>
      <c r="Q30" s="10">
        <v>75.790000000000006</v>
      </c>
      <c r="R30" s="12"/>
      <c r="S30" s="11"/>
    </row>
    <row r="31" spans="1:19" x14ac:dyDescent="0.35">
      <c r="A31" t="s">
        <v>102</v>
      </c>
      <c r="B31" t="s">
        <v>67</v>
      </c>
      <c r="C31" t="s">
        <v>81</v>
      </c>
      <c r="D31" t="s">
        <v>70</v>
      </c>
      <c r="E31" t="s">
        <v>51</v>
      </c>
      <c r="F31" t="s">
        <v>42</v>
      </c>
      <c r="G31" t="s">
        <v>53</v>
      </c>
      <c r="H31" t="s">
        <v>43</v>
      </c>
      <c r="I31" t="s">
        <v>60</v>
      </c>
      <c r="J31" s="9">
        <v>46102</v>
      </c>
      <c r="K31" s="9">
        <v>46127</v>
      </c>
      <c r="L31">
        <v>5.8</v>
      </c>
      <c r="M31" s="10">
        <v>175</v>
      </c>
      <c r="N31" s="10">
        <v>1015</v>
      </c>
      <c r="O31" s="11">
        <v>5.5</v>
      </c>
      <c r="P31" s="12"/>
      <c r="Q31" s="10">
        <v>79.03</v>
      </c>
      <c r="R31" s="12"/>
      <c r="S31" s="11"/>
    </row>
    <row r="32" spans="1:19" x14ac:dyDescent="0.35">
      <c r="A32" t="s">
        <v>103</v>
      </c>
      <c r="B32" t="s">
        <v>48</v>
      </c>
      <c r="C32" t="s">
        <v>79</v>
      </c>
      <c r="D32" t="s">
        <v>40</v>
      </c>
      <c r="E32" t="s">
        <v>51</v>
      </c>
      <c r="F32" t="s">
        <v>52</v>
      </c>
      <c r="G32" t="s">
        <v>43</v>
      </c>
      <c r="H32" t="s">
        <v>53</v>
      </c>
      <c r="I32" t="s">
        <v>88</v>
      </c>
      <c r="J32" s="9">
        <v>46083</v>
      </c>
      <c r="K32" s="9">
        <v>46102</v>
      </c>
      <c r="L32">
        <v>54.3</v>
      </c>
      <c r="M32" s="10">
        <v>175</v>
      </c>
      <c r="N32" s="10">
        <v>9502.5</v>
      </c>
      <c r="O32" s="11">
        <v>61.2</v>
      </c>
      <c r="P32" s="12"/>
      <c r="Q32" s="10">
        <v>105.61</v>
      </c>
      <c r="R32" s="12"/>
      <c r="S32" s="11"/>
    </row>
    <row r="33" spans="1:19" x14ac:dyDescent="0.35">
      <c r="A33" t="s">
        <v>104</v>
      </c>
      <c r="B33" t="s">
        <v>56</v>
      </c>
      <c r="C33" t="s">
        <v>62</v>
      </c>
      <c r="D33" t="s">
        <v>40</v>
      </c>
      <c r="E33" t="s">
        <v>58</v>
      </c>
      <c r="F33" t="s">
        <v>42</v>
      </c>
      <c r="G33" t="s">
        <v>53</v>
      </c>
      <c r="H33" t="s">
        <v>43</v>
      </c>
      <c r="I33" t="s">
        <v>60</v>
      </c>
      <c r="J33" s="9">
        <v>46120</v>
      </c>
      <c r="K33" s="9">
        <v>46135</v>
      </c>
      <c r="L33">
        <v>11.3</v>
      </c>
      <c r="M33" s="10">
        <v>125</v>
      </c>
      <c r="N33" s="10">
        <v>1412.5</v>
      </c>
      <c r="O33" s="11">
        <v>10.3</v>
      </c>
      <c r="P33" s="12"/>
      <c r="Q33" s="10">
        <v>66.64</v>
      </c>
      <c r="R33" s="12"/>
      <c r="S33" s="11"/>
    </row>
    <row r="34" spans="1:19" x14ac:dyDescent="0.35">
      <c r="A34" t="s">
        <v>105</v>
      </c>
      <c r="B34" t="s">
        <v>56</v>
      </c>
      <c r="C34" t="s">
        <v>81</v>
      </c>
      <c r="D34" t="s">
        <v>50</v>
      </c>
      <c r="E34" t="s">
        <v>83</v>
      </c>
      <c r="F34" t="s">
        <v>59</v>
      </c>
      <c r="G34" t="s">
        <v>43</v>
      </c>
      <c r="H34" t="s">
        <v>43</v>
      </c>
      <c r="I34" t="s">
        <v>45</v>
      </c>
      <c r="J34" s="9">
        <v>46092</v>
      </c>
      <c r="K34" s="9">
        <v>46129</v>
      </c>
      <c r="L34">
        <v>82.4</v>
      </c>
      <c r="M34" s="10">
        <v>125</v>
      </c>
      <c r="N34" s="10">
        <v>10300</v>
      </c>
      <c r="O34" s="11">
        <v>92.6</v>
      </c>
      <c r="P34" s="12"/>
      <c r="Q34" s="10">
        <v>64.72</v>
      </c>
      <c r="R34" s="12"/>
      <c r="S34" s="11"/>
    </row>
    <row r="35" spans="1:19" x14ac:dyDescent="0.35">
      <c r="A35" t="s">
        <v>106</v>
      </c>
      <c r="B35" t="s">
        <v>48</v>
      </c>
      <c r="C35" t="s">
        <v>39</v>
      </c>
      <c r="D35" t="s">
        <v>76</v>
      </c>
      <c r="E35" t="s">
        <v>41</v>
      </c>
      <c r="F35" t="s">
        <v>64</v>
      </c>
      <c r="G35" t="s">
        <v>44</v>
      </c>
      <c r="H35" t="s">
        <v>44</v>
      </c>
      <c r="I35" t="s">
        <v>65</v>
      </c>
      <c r="J35" s="9">
        <v>46169</v>
      </c>
      <c r="K35" s="9">
        <v>46199</v>
      </c>
      <c r="L35">
        <v>11.3</v>
      </c>
      <c r="M35" s="10">
        <v>140</v>
      </c>
      <c r="N35" s="10">
        <v>1582</v>
      </c>
      <c r="O35" s="11">
        <v>8.6</v>
      </c>
      <c r="P35" s="12"/>
      <c r="Q35" s="10">
        <v>78.02</v>
      </c>
      <c r="R35" s="12"/>
      <c r="S35" s="11"/>
    </row>
    <row r="36" spans="1:19" x14ac:dyDescent="0.35">
      <c r="A36" t="s">
        <v>107</v>
      </c>
      <c r="B36" t="s">
        <v>38</v>
      </c>
      <c r="C36" t="s">
        <v>49</v>
      </c>
      <c r="D36" t="s">
        <v>40</v>
      </c>
      <c r="E36" t="s">
        <v>58</v>
      </c>
      <c r="F36" t="s">
        <v>52</v>
      </c>
      <c r="G36" t="s">
        <v>43</v>
      </c>
      <c r="H36" t="s">
        <v>44</v>
      </c>
      <c r="I36" t="s">
        <v>88</v>
      </c>
      <c r="J36" s="9">
        <v>46054</v>
      </c>
      <c r="K36" s="9">
        <v>46075</v>
      </c>
      <c r="L36">
        <v>42.2</v>
      </c>
      <c r="M36" s="10">
        <v>160</v>
      </c>
      <c r="N36" s="10">
        <v>6752</v>
      </c>
      <c r="O36" s="11">
        <v>50.3</v>
      </c>
      <c r="P36" s="12"/>
      <c r="Q36" s="10">
        <v>89.97</v>
      </c>
      <c r="R36" s="12"/>
      <c r="S36" s="11"/>
    </row>
    <row r="37" spans="1:19" x14ac:dyDescent="0.35">
      <c r="A37" t="s">
        <v>108</v>
      </c>
      <c r="B37" t="s">
        <v>56</v>
      </c>
      <c r="C37" t="s">
        <v>62</v>
      </c>
      <c r="D37" t="s">
        <v>40</v>
      </c>
      <c r="E37" t="s">
        <v>51</v>
      </c>
      <c r="F37" t="s">
        <v>52</v>
      </c>
      <c r="G37" t="s">
        <v>43</v>
      </c>
      <c r="H37" t="s">
        <v>53</v>
      </c>
      <c r="I37" t="s">
        <v>54</v>
      </c>
      <c r="J37" s="9">
        <v>46036</v>
      </c>
      <c r="K37" s="9">
        <v>46062</v>
      </c>
      <c r="L37">
        <v>84.7</v>
      </c>
      <c r="M37" s="10">
        <v>95</v>
      </c>
      <c r="N37" s="10">
        <v>8046.5</v>
      </c>
      <c r="O37" s="11">
        <v>67.599999999999994</v>
      </c>
      <c r="P37" s="12"/>
      <c r="Q37" s="10">
        <v>59.61</v>
      </c>
      <c r="R37" s="12"/>
      <c r="S37" s="11"/>
    </row>
    <row r="38" spans="1:19" x14ac:dyDescent="0.35">
      <c r="A38" t="s">
        <v>109</v>
      </c>
      <c r="B38" t="s">
        <v>56</v>
      </c>
      <c r="C38" t="s">
        <v>39</v>
      </c>
      <c r="D38" t="s">
        <v>70</v>
      </c>
      <c r="E38" t="s">
        <v>83</v>
      </c>
      <c r="F38" t="s">
        <v>59</v>
      </c>
      <c r="G38" t="s">
        <v>43</v>
      </c>
      <c r="H38" t="s">
        <v>44</v>
      </c>
      <c r="I38" t="s">
        <v>45</v>
      </c>
      <c r="J38" s="9">
        <v>46133</v>
      </c>
      <c r="K38" s="9">
        <v>46146</v>
      </c>
      <c r="L38">
        <v>71.5</v>
      </c>
      <c r="M38" s="10">
        <v>160</v>
      </c>
      <c r="N38" s="10">
        <v>11440</v>
      </c>
      <c r="O38" s="11">
        <v>68.2</v>
      </c>
      <c r="P38" s="12"/>
      <c r="Q38" s="10">
        <v>102.45</v>
      </c>
      <c r="R38" s="12"/>
      <c r="S38" s="11"/>
    </row>
    <row r="39" spans="1:19" x14ac:dyDescent="0.35">
      <c r="A39" t="s">
        <v>110</v>
      </c>
      <c r="B39" t="s">
        <v>48</v>
      </c>
      <c r="C39" t="s">
        <v>49</v>
      </c>
      <c r="D39" t="s">
        <v>57</v>
      </c>
      <c r="E39" t="s">
        <v>51</v>
      </c>
      <c r="F39" t="s">
        <v>86</v>
      </c>
      <c r="G39" t="s">
        <v>44</v>
      </c>
      <c r="H39" t="s">
        <v>44</v>
      </c>
      <c r="I39" t="s">
        <v>54</v>
      </c>
      <c r="J39" s="9">
        <v>46121</v>
      </c>
      <c r="K39" s="9">
        <v>46162</v>
      </c>
      <c r="L39">
        <v>77</v>
      </c>
      <c r="M39" s="10">
        <v>175</v>
      </c>
      <c r="N39" s="10">
        <v>13475</v>
      </c>
      <c r="O39" s="11">
        <v>71.599999999999994</v>
      </c>
      <c r="P39" s="12"/>
      <c r="Q39" s="10">
        <v>92.68</v>
      </c>
      <c r="R39" s="12"/>
      <c r="S39" s="11"/>
    </row>
    <row r="40" spans="1:19" x14ac:dyDescent="0.35">
      <c r="A40" t="s">
        <v>111</v>
      </c>
      <c r="B40" t="s">
        <v>56</v>
      </c>
      <c r="C40" t="s">
        <v>62</v>
      </c>
      <c r="D40" t="s">
        <v>70</v>
      </c>
      <c r="E40" t="s">
        <v>71</v>
      </c>
      <c r="F40" t="s">
        <v>64</v>
      </c>
      <c r="G40" t="s">
        <v>43</v>
      </c>
      <c r="H40" t="s">
        <v>43</v>
      </c>
      <c r="I40" t="s">
        <v>54</v>
      </c>
      <c r="J40" s="9">
        <v>46039</v>
      </c>
      <c r="K40" s="9">
        <v>46067</v>
      </c>
      <c r="L40">
        <v>23.7</v>
      </c>
      <c r="M40" s="10">
        <v>110</v>
      </c>
      <c r="N40" s="10">
        <v>2607</v>
      </c>
      <c r="O40" s="11">
        <v>27.1</v>
      </c>
      <c r="P40" s="12"/>
      <c r="Q40" s="10">
        <v>54.01</v>
      </c>
      <c r="R40" s="12"/>
      <c r="S40" s="11"/>
    </row>
    <row r="41" spans="1:19" x14ac:dyDescent="0.35">
      <c r="A41" t="s">
        <v>112</v>
      </c>
      <c r="B41" t="s">
        <v>56</v>
      </c>
      <c r="C41" t="s">
        <v>79</v>
      </c>
      <c r="D41" t="s">
        <v>57</v>
      </c>
      <c r="E41" t="s">
        <v>41</v>
      </c>
      <c r="F41" t="s">
        <v>52</v>
      </c>
      <c r="G41" t="s">
        <v>43</v>
      </c>
      <c r="H41" t="s">
        <v>44</v>
      </c>
      <c r="I41" t="s">
        <v>60</v>
      </c>
      <c r="J41" s="9">
        <v>46027</v>
      </c>
      <c r="K41" s="9">
        <v>46051</v>
      </c>
      <c r="L41">
        <v>73.5</v>
      </c>
      <c r="M41" s="10">
        <v>110</v>
      </c>
      <c r="N41" s="10">
        <v>8085</v>
      </c>
      <c r="O41" s="11">
        <v>91.4</v>
      </c>
      <c r="P41" s="12"/>
      <c r="Q41" s="10">
        <v>61.38</v>
      </c>
      <c r="R41" s="12"/>
      <c r="S41" s="11"/>
    </row>
    <row r="42" spans="1:19" x14ac:dyDescent="0.35">
      <c r="A42" t="s">
        <v>113</v>
      </c>
      <c r="B42" t="s">
        <v>56</v>
      </c>
      <c r="C42" t="s">
        <v>62</v>
      </c>
      <c r="D42" t="s">
        <v>40</v>
      </c>
      <c r="E42" t="s">
        <v>71</v>
      </c>
      <c r="F42" t="s">
        <v>64</v>
      </c>
      <c r="G42" t="s">
        <v>53</v>
      </c>
      <c r="H42" t="s">
        <v>44</v>
      </c>
      <c r="I42" t="s">
        <v>45</v>
      </c>
      <c r="J42" s="9">
        <v>46177</v>
      </c>
      <c r="K42" s="9">
        <v>46204</v>
      </c>
      <c r="L42">
        <v>5.3</v>
      </c>
      <c r="M42" s="10">
        <v>125</v>
      </c>
      <c r="N42" s="10">
        <v>662.5</v>
      </c>
      <c r="O42" s="11">
        <v>4.0999999999999996</v>
      </c>
      <c r="P42" s="12"/>
      <c r="Q42" s="10">
        <v>74.790000000000006</v>
      </c>
      <c r="R42" s="12"/>
      <c r="S42" s="11"/>
    </row>
    <row r="43" spans="1:19" x14ac:dyDescent="0.35">
      <c r="A43" t="s">
        <v>114</v>
      </c>
      <c r="B43" t="s">
        <v>48</v>
      </c>
      <c r="C43" t="s">
        <v>62</v>
      </c>
      <c r="D43" t="s">
        <v>70</v>
      </c>
      <c r="E43" t="s">
        <v>51</v>
      </c>
      <c r="F43" t="s">
        <v>52</v>
      </c>
      <c r="G43" t="s">
        <v>43</v>
      </c>
      <c r="H43" t="s">
        <v>53</v>
      </c>
      <c r="I43" t="s">
        <v>60</v>
      </c>
      <c r="J43" s="9">
        <v>46083</v>
      </c>
      <c r="K43" s="9">
        <v>46092</v>
      </c>
      <c r="L43">
        <v>62.9</v>
      </c>
      <c r="M43" s="10">
        <v>175</v>
      </c>
      <c r="N43" s="10">
        <v>11007.5</v>
      </c>
      <c r="O43" s="11">
        <v>63.6</v>
      </c>
      <c r="P43" s="12"/>
      <c r="Q43" s="10">
        <v>94.78</v>
      </c>
      <c r="R43" s="12"/>
      <c r="S43" s="11"/>
    </row>
    <row r="44" spans="1:19" x14ac:dyDescent="0.35">
      <c r="A44" t="s">
        <v>115</v>
      </c>
      <c r="B44" t="s">
        <v>48</v>
      </c>
      <c r="C44" t="s">
        <v>62</v>
      </c>
      <c r="D44" t="s">
        <v>70</v>
      </c>
      <c r="E44" t="s">
        <v>51</v>
      </c>
      <c r="F44" t="s">
        <v>86</v>
      </c>
      <c r="G44" t="s">
        <v>43</v>
      </c>
      <c r="H44" t="s">
        <v>43</v>
      </c>
      <c r="I44" t="s">
        <v>65</v>
      </c>
      <c r="J44" s="9">
        <v>46045</v>
      </c>
      <c r="K44" s="9">
        <v>46057</v>
      </c>
      <c r="L44">
        <v>30.1</v>
      </c>
      <c r="M44" s="10">
        <v>110</v>
      </c>
      <c r="N44" s="10">
        <v>3311</v>
      </c>
      <c r="O44" s="11">
        <v>23.6</v>
      </c>
      <c r="P44" s="12"/>
      <c r="Q44" s="10">
        <v>55.55</v>
      </c>
      <c r="R44" s="12"/>
      <c r="S44" s="11"/>
    </row>
    <row r="45" spans="1:19" x14ac:dyDescent="0.35">
      <c r="A45" t="s">
        <v>116</v>
      </c>
      <c r="B45" t="s">
        <v>67</v>
      </c>
      <c r="C45" t="s">
        <v>39</v>
      </c>
      <c r="D45" t="s">
        <v>50</v>
      </c>
      <c r="E45" t="s">
        <v>68</v>
      </c>
      <c r="F45" t="s">
        <v>52</v>
      </c>
      <c r="G45" t="s">
        <v>43</v>
      </c>
      <c r="H45" t="s">
        <v>44</v>
      </c>
      <c r="I45" t="s">
        <v>54</v>
      </c>
      <c r="J45" s="9">
        <v>46056</v>
      </c>
      <c r="K45" s="9">
        <v>46098</v>
      </c>
      <c r="L45">
        <v>62.4</v>
      </c>
      <c r="M45" s="10">
        <v>110</v>
      </c>
      <c r="N45" s="10">
        <v>6864</v>
      </c>
      <c r="O45" s="11">
        <v>60.2</v>
      </c>
      <c r="P45" s="12"/>
      <c r="Q45" s="10">
        <v>69.040000000000006</v>
      </c>
      <c r="R45" s="12"/>
      <c r="S45" s="11"/>
    </row>
    <row r="46" spans="1:19" x14ac:dyDescent="0.35">
      <c r="A46" t="s">
        <v>117</v>
      </c>
      <c r="B46" t="s">
        <v>38</v>
      </c>
      <c r="C46" t="s">
        <v>49</v>
      </c>
      <c r="D46" t="s">
        <v>70</v>
      </c>
      <c r="E46" t="s">
        <v>51</v>
      </c>
      <c r="F46" t="s">
        <v>86</v>
      </c>
      <c r="G46" t="s">
        <v>43</v>
      </c>
      <c r="H46" t="s">
        <v>43</v>
      </c>
      <c r="I46" t="s">
        <v>88</v>
      </c>
      <c r="J46" s="9">
        <v>46092</v>
      </c>
      <c r="K46" s="9">
        <v>46122</v>
      </c>
      <c r="L46">
        <v>81.2</v>
      </c>
      <c r="M46" s="10">
        <v>175</v>
      </c>
      <c r="N46" s="10">
        <v>14210</v>
      </c>
      <c r="O46" s="11">
        <v>98.4</v>
      </c>
      <c r="P46" s="12"/>
      <c r="Q46" s="10">
        <v>81.099999999999994</v>
      </c>
      <c r="R46" s="12"/>
      <c r="S46" s="11"/>
    </row>
    <row r="47" spans="1:19" x14ac:dyDescent="0.35">
      <c r="A47" t="s">
        <v>118</v>
      </c>
      <c r="B47" t="s">
        <v>48</v>
      </c>
      <c r="C47" t="s">
        <v>62</v>
      </c>
      <c r="D47" t="s">
        <v>70</v>
      </c>
      <c r="E47" t="s">
        <v>71</v>
      </c>
      <c r="F47" t="s">
        <v>52</v>
      </c>
      <c r="G47" t="s">
        <v>44</v>
      </c>
      <c r="H47" t="s">
        <v>43</v>
      </c>
      <c r="I47" t="s">
        <v>60</v>
      </c>
      <c r="J47" s="9">
        <v>46170</v>
      </c>
      <c r="K47" s="9">
        <v>46212</v>
      </c>
      <c r="L47">
        <v>30.7</v>
      </c>
      <c r="M47" s="10">
        <v>95</v>
      </c>
      <c r="N47" s="10">
        <v>2916.5</v>
      </c>
      <c r="O47" s="11">
        <v>29.3</v>
      </c>
      <c r="P47" s="12"/>
      <c r="Q47" s="10">
        <v>59.35</v>
      </c>
      <c r="R47" s="12"/>
      <c r="S47" s="11"/>
    </row>
    <row r="48" spans="1:19" x14ac:dyDescent="0.35">
      <c r="A48" t="s">
        <v>119</v>
      </c>
      <c r="B48" t="s">
        <v>38</v>
      </c>
      <c r="C48" t="s">
        <v>62</v>
      </c>
      <c r="D48" t="s">
        <v>63</v>
      </c>
      <c r="E48" t="s">
        <v>68</v>
      </c>
      <c r="F48" t="s">
        <v>52</v>
      </c>
      <c r="G48" t="s">
        <v>53</v>
      </c>
      <c r="H48" t="s">
        <v>43</v>
      </c>
      <c r="I48" t="s">
        <v>45</v>
      </c>
      <c r="J48" s="9">
        <v>46066</v>
      </c>
      <c r="K48" s="9">
        <v>46103</v>
      </c>
      <c r="L48">
        <v>22.2</v>
      </c>
      <c r="M48" s="10">
        <v>95</v>
      </c>
      <c r="N48" s="10">
        <v>2109</v>
      </c>
      <c r="O48" s="11">
        <v>20.5</v>
      </c>
      <c r="P48" s="12"/>
      <c r="Q48" s="10">
        <v>53.32</v>
      </c>
      <c r="R48" s="12"/>
      <c r="S48" s="11"/>
    </row>
    <row r="49" spans="1:19" x14ac:dyDescent="0.35">
      <c r="A49" t="s">
        <v>120</v>
      </c>
      <c r="B49" t="s">
        <v>48</v>
      </c>
      <c r="C49" t="s">
        <v>49</v>
      </c>
      <c r="D49" t="s">
        <v>50</v>
      </c>
      <c r="E49" t="s">
        <v>41</v>
      </c>
      <c r="F49" t="s">
        <v>86</v>
      </c>
      <c r="G49" t="s">
        <v>44</v>
      </c>
      <c r="H49" t="s">
        <v>74</v>
      </c>
      <c r="I49" t="s">
        <v>60</v>
      </c>
      <c r="J49" s="9">
        <v>46184</v>
      </c>
      <c r="K49" s="9">
        <v>46226</v>
      </c>
      <c r="L49">
        <v>6.1</v>
      </c>
      <c r="M49" s="10">
        <v>175</v>
      </c>
      <c r="N49" s="10">
        <v>1067.5</v>
      </c>
      <c r="O49" s="11">
        <v>7.1</v>
      </c>
      <c r="P49" s="12"/>
      <c r="Q49" s="10">
        <v>88.11</v>
      </c>
      <c r="R49" s="12"/>
      <c r="S49" s="11"/>
    </row>
    <row r="50" spans="1:19" x14ac:dyDescent="0.35">
      <c r="A50" t="s">
        <v>121</v>
      </c>
      <c r="B50" t="s">
        <v>56</v>
      </c>
      <c r="C50" t="s">
        <v>49</v>
      </c>
      <c r="D50" t="s">
        <v>40</v>
      </c>
      <c r="E50" t="s">
        <v>83</v>
      </c>
      <c r="F50" t="s">
        <v>52</v>
      </c>
      <c r="G50" t="s">
        <v>53</v>
      </c>
      <c r="H50" t="s">
        <v>53</v>
      </c>
      <c r="I50" t="s">
        <v>45</v>
      </c>
      <c r="J50" s="9">
        <v>46171</v>
      </c>
      <c r="K50" s="9">
        <v>46203</v>
      </c>
      <c r="L50">
        <v>9.6</v>
      </c>
      <c r="M50" s="10">
        <v>175</v>
      </c>
      <c r="N50" s="10">
        <v>1680</v>
      </c>
      <c r="O50" s="11">
        <v>10.199999999999999</v>
      </c>
      <c r="P50" s="12"/>
      <c r="Q50" s="10">
        <v>79.819999999999993</v>
      </c>
      <c r="R50" s="12"/>
      <c r="S50" s="11"/>
    </row>
    <row r="51" spans="1:19" x14ac:dyDescent="0.35">
      <c r="A51" t="s">
        <v>122</v>
      </c>
      <c r="B51" t="s">
        <v>56</v>
      </c>
      <c r="C51" t="s">
        <v>39</v>
      </c>
      <c r="D51" t="s">
        <v>70</v>
      </c>
      <c r="E51" t="s">
        <v>51</v>
      </c>
      <c r="F51" t="s">
        <v>52</v>
      </c>
      <c r="G51" t="s">
        <v>53</v>
      </c>
      <c r="H51" t="s">
        <v>43</v>
      </c>
      <c r="I51" t="s">
        <v>88</v>
      </c>
      <c r="J51" s="9">
        <v>46172</v>
      </c>
      <c r="K51" s="9">
        <v>46217</v>
      </c>
      <c r="L51">
        <v>10.9</v>
      </c>
      <c r="M51" s="10">
        <v>95</v>
      </c>
      <c r="N51" s="10">
        <v>1035.5</v>
      </c>
      <c r="O51" s="11">
        <v>9</v>
      </c>
      <c r="P51" s="12"/>
      <c r="Q51" s="10">
        <v>57.08</v>
      </c>
      <c r="R51" s="12"/>
      <c r="S51" s="11"/>
    </row>
    <row r="52" spans="1:19" x14ac:dyDescent="0.35">
      <c r="A52" t="s">
        <v>123</v>
      </c>
      <c r="B52" t="s">
        <v>48</v>
      </c>
      <c r="C52" t="s">
        <v>62</v>
      </c>
      <c r="D52" t="s">
        <v>63</v>
      </c>
      <c r="E52" t="s">
        <v>51</v>
      </c>
      <c r="F52" t="s">
        <v>86</v>
      </c>
      <c r="G52" t="s">
        <v>43</v>
      </c>
      <c r="H52" t="s">
        <v>43</v>
      </c>
      <c r="I52" t="s">
        <v>88</v>
      </c>
      <c r="J52" s="9">
        <v>46082</v>
      </c>
      <c r="K52" s="9">
        <v>46121</v>
      </c>
      <c r="L52">
        <v>13.2</v>
      </c>
      <c r="M52" s="10">
        <v>140</v>
      </c>
      <c r="N52" s="10">
        <v>1848</v>
      </c>
      <c r="O52" s="11">
        <v>10.6</v>
      </c>
      <c r="P52" s="12"/>
      <c r="Q52" s="10">
        <v>81.99</v>
      </c>
      <c r="R52" s="12"/>
      <c r="S52" s="11"/>
    </row>
    <row r="53" spans="1:19" x14ac:dyDescent="0.35">
      <c r="A53" t="s">
        <v>124</v>
      </c>
      <c r="B53" t="s">
        <v>38</v>
      </c>
      <c r="C53" t="s">
        <v>79</v>
      </c>
      <c r="D53" t="s">
        <v>40</v>
      </c>
      <c r="E53" t="s">
        <v>83</v>
      </c>
      <c r="F53" t="s">
        <v>42</v>
      </c>
      <c r="G53" t="s">
        <v>53</v>
      </c>
      <c r="H53" t="s">
        <v>74</v>
      </c>
      <c r="I53" t="s">
        <v>54</v>
      </c>
      <c r="J53" s="9">
        <v>46028</v>
      </c>
      <c r="K53" s="9">
        <v>46048</v>
      </c>
      <c r="L53">
        <v>28.4</v>
      </c>
      <c r="M53" s="10">
        <v>110</v>
      </c>
      <c r="N53" s="10">
        <v>3124</v>
      </c>
      <c r="O53" s="11">
        <v>32.200000000000003</v>
      </c>
      <c r="P53" s="12"/>
      <c r="Q53" s="10">
        <v>66.31</v>
      </c>
      <c r="R53" s="12"/>
      <c r="S53" s="11"/>
    </row>
    <row r="54" spans="1:19" x14ac:dyDescent="0.35">
      <c r="A54" t="s">
        <v>125</v>
      </c>
      <c r="B54" t="s">
        <v>67</v>
      </c>
      <c r="C54" t="s">
        <v>49</v>
      </c>
      <c r="D54" t="s">
        <v>76</v>
      </c>
      <c r="E54" t="s">
        <v>71</v>
      </c>
      <c r="F54" t="s">
        <v>86</v>
      </c>
      <c r="G54" t="s">
        <v>43</v>
      </c>
      <c r="H54" t="s">
        <v>53</v>
      </c>
      <c r="I54" t="s">
        <v>65</v>
      </c>
      <c r="J54" s="9">
        <v>46163</v>
      </c>
      <c r="K54" s="9">
        <v>46184</v>
      </c>
      <c r="L54">
        <v>44.5</v>
      </c>
      <c r="M54" s="10">
        <v>175</v>
      </c>
      <c r="N54" s="10">
        <v>7787.5</v>
      </c>
      <c r="O54" s="11">
        <v>51.3</v>
      </c>
      <c r="P54" s="12"/>
      <c r="Q54" s="10">
        <v>81.27</v>
      </c>
      <c r="R54" s="12"/>
      <c r="S54" s="11"/>
    </row>
    <row r="55" spans="1:19" x14ac:dyDescent="0.35">
      <c r="A55" t="s">
        <v>126</v>
      </c>
      <c r="B55" t="s">
        <v>48</v>
      </c>
      <c r="C55" t="s">
        <v>39</v>
      </c>
      <c r="D55" t="s">
        <v>76</v>
      </c>
      <c r="E55" t="s">
        <v>51</v>
      </c>
      <c r="F55" t="s">
        <v>42</v>
      </c>
      <c r="G55" t="s">
        <v>44</v>
      </c>
      <c r="H55" t="s">
        <v>43</v>
      </c>
      <c r="I55" t="s">
        <v>60</v>
      </c>
      <c r="J55" s="9">
        <v>46130</v>
      </c>
      <c r="K55" s="9">
        <v>46163</v>
      </c>
      <c r="L55">
        <v>27.5</v>
      </c>
      <c r="M55" s="10">
        <v>140</v>
      </c>
      <c r="N55" s="10">
        <v>3850</v>
      </c>
      <c r="O55" s="11">
        <v>20.9</v>
      </c>
      <c r="P55" s="12"/>
      <c r="Q55" s="10">
        <v>72.09</v>
      </c>
      <c r="R55" s="12"/>
      <c r="S55" s="11"/>
    </row>
    <row r="56" spans="1:19" x14ac:dyDescent="0.35">
      <c r="A56" t="s">
        <v>127</v>
      </c>
      <c r="B56" t="s">
        <v>38</v>
      </c>
      <c r="C56" t="s">
        <v>49</v>
      </c>
      <c r="D56" t="s">
        <v>76</v>
      </c>
      <c r="E56" t="s">
        <v>51</v>
      </c>
      <c r="F56" t="s">
        <v>42</v>
      </c>
      <c r="G56" t="s">
        <v>53</v>
      </c>
      <c r="H56" t="s">
        <v>43</v>
      </c>
      <c r="I56" t="s">
        <v>60</v>
      </c>
      <c r="J56" s="9">
        <v>46047</v>
      </c>
      <c r="K56" s="9">
        <v>46079</v>
      </c>
      <c r="L56">
        <v>74.5</v>
      </c>
      <c r="M56" s="10">
        <v>175</v>
      </c>
      <c r="N56" s="10">
        <v>13037.5</v>
      </c>
      <c r="O56" s="11">
        <v>68.5</v>
      </c>
      <c r="P56" s="12"/>
      <c r="Q56" s="10">
        <v>90.41</v>
      </c>
      <c r="R56" s="12"/>
      <c r="S56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tabSelected="1" zoomScaleNormal="100" workbookViewId="0">
      <selection activeCell="C36" sqref="C36"/>
    </sheetView>
  </sheetViews>
  <sheetFormatPr defaultColWidth="8.6328125" defaultRowHeight="14.5" x14ac:dyDescent="0.35"/>
  <cols>
    <col min="1" max="1" width="42" customWidth="1"/>
    <col min="2" max="2" width="26" customWidth="1"/>
    <col min="3" max="3" width="55" customWidth="1"/>
  </cols>
  <sheetData>
    <row r="1" spans="1:3" ht="15.5" x14ac:dyDescent="0.35">
      <c r="A1" s="15" t="s">
        <v>128</v>
      </c>
    </row>
    <row r="2" spans="1:3" x14ac:dyDescent="0.35">
      <c r="A2" s="2" t="s">
        <v>129</v>
      </c>
      <c r="B2" s="16"/>
      <c r="C2" s="17" t="s">
        <v>130</v>
      </c>
    </row>
    <row r="3" spans="1:3" x14ac:dyDescent="0.35">
      <c r="A3" s="2" t="s">
        <v>131</v>
      </c>
      <c r="B3" s="16"/>
      <c r="C3" s="17" t="s">
        <v>132</v>
      </c>
    </row>
    <row r="4" spans="1:3" x14ac:dyDescent="0.35">
      <c r="A4" s="2" t="s">
        <v>133</v>
      </c>
      <c r="B4" s="16"/>
      <c r="C4" s="17" t="s">
        <v>134</v>
      </c>
    </row>
    <row r="5" spans="1:3" x14ac:dyDescent="0.35">
      <c r="A5" s="2" t="s">
        <v>135</v>
      </c>
      <c r="B5" s="16"/>
      <c r="C5" s="17" t="s">
        <v>136</v>
      </c>
    </row>
    <row r="7" spans="1:3" ht="15.5" x14ac:dyDescent="0.35">
      <c r="A7" s="15" t="s">
        <v>137</v>
      </c>
    </row>
    <row r="8" spans="1:3" x14ac:dyDescent="0.35">
      <c r="A8" s="18" t="s">
        <v>138</v>
      </c>
      <c r="B8" s="18" t="s">
        <v>139</v>
      </c>
      <c r="C8" s="18" t="s">
        <v>140</v>
      </c>
    </row>
    <row r="9" spans="1:3" x14ac:dyDescent="0.35">
      <c r="A9" t="s">
        <v>141</v>
      </c>
      <c r="B9" s="19" t="e">
        <f>MATCH("Fraud Review",{"KYC Review","AML Investigation","SAR Filing"},0)</f>
        <v>#N/A</v>
      </c>
      <c r="C9" s="16"/>
    </row>
    <row r="10" spans="1:3" x14ac:dyDescent="0.35">
      <c r="A10" t="s">
        <v>142</v>
      </c>
      <c r="B10" s="19" t="e">
        <f>"40 hours"+10</f>
        <v>#VALUE!</v>
      </c>
      <c r="C10" s="16"/>
    </row>
    <row r="12" spans="1:3" ht="15.5" x14ac:dyDescent="0.35">
      <c r="A12" s="15" t="s">
        <v>143</v>
      </c>
    </row>
    <row r="13" spans="1:3" ht="60" customHeight="1" x14ac:dyDescent="0.35">
      <c r="A13" s="1" t="s">
        <v>144</v>
      </c>
      <c r="B13" s="1"/>
      <c r="C13" s="1"/>
    </row>
    <row r="15" spans="1:3" ht="15.5" x14ac:dyDescent="0.35">
      <c r="A15" s="15" t="s">
        <v>145</v>
      </c>
    </row>
    <row r="16" spans="1:3" x14ac:dyDescent="0.35">
      <c r="A16" s="18" t="s">
        <v>146</v>
      </c>
      <c r="B16" s="18" t="s">
        <v>147</v>
      </c>
      <c r="C16" s="18" t="s">
        <v>148</v>
      </c>
    </row>
    <row r="17" spans="1:3" ht="62.5" x14ac:dyDescent="0.35">
      <c r="A17" s="18" t="s">
        <v>149</v>
      </c>
      <c r="B17" s="20" t="s">
        <v>150</v>
      </c>
      <c r="C17" s="16"/>
    </row>
    <row r="18" spans="1:3" ht="62.5" x14ac:dyDescent="0.35">
      <c r="A18" s="18" t="s">
        <v>151</v>
      </c>
      <c r="B18" s="20" t="s">
        <v>152</v>
      </c>
      <c r="C18" s="16"/>
    </row>
    <row r="19" spans="1:3" ht="50" x14ac:dyDescent="0.35">
      <c r="A19" s="18" t="s">
        <v>153</v>
      </c>
      <c r="B19" s="20" t="s">
        <v>154</v>
      </c>
      <c r="C19" s="16"/>
    </row>
    <row r="20" spans="1:3" ht="62.5" x14ac:dyDescent="0.35">
      <c r="A20" s="18" t="s">
        <v>155</v>
      </c>
      <c r="B20" s="20" t="s">
        <v>156</v>
      </c>
      <c r="C20" s="16"/>
    </row>
    <row r="21" spans="1:3" ht="62.5" x14ac:dyDescent="0.35">
      <c r="A21" s="18" t="s">
        <v>157</v>
      </c>
      <c r="B21" s="20" t="s">
        <v>158</v>
      </c>
      <c r="C21" s="16"/>
    </row>
    <row r="22" spans="1:3" ht="62.5" x14ac:dyDescent="0.35">
      <c r="A22" s="18" t="s">
        <v>159</v>
      </c>
      <c r="B22" s="20" t="s">
        <v>160</v>
      </c>
      <c r="C22" s="16"/>
    </row>
    <row r="23" spans="1:3" ht="62.5" x14ac:dyDescent="0.35">
      <c r="A23" s="18" t="s">
        <v>161</v>
      </c>
      <c r="B23" s="20" t="s">
        <v>162</v>
      </c>
      <c r="C23" s="16"/>
    </row>
    <row r="24" spans="1:3" ht="87.5" x14ac:dyDescent="0.35">
      <c r="A24" s="18" t="s">
        <v>163</v>
      </c>
      <c r="B24" s="20" t="s">
        <v>164</v>
      </c>
      <c r="C24" s="16"/>
    </row>
    <row r="25" spans="1:3" ht="62.5" x14ac:dyDescent="0.35">
      <c r="A25" s="18" t="s">
        <v>165</v>
      </c>
      <c r="B25" s="20" t="s">
        <v>166</v>
      </c>
      <c r="C25" s="16"/>
    </row>
    <row r="26" spans="1:3" ht="50" x14ac:dyDescent="0.35">
      <c r="A26" s="18" t="s">
        <v>167</v>
      </c>
      <c r="B26" s="20" t="s">
        <v>168</v>
      </c>
      <c r="C26" s="16"/>
    </row>
    <row r="27" spans="1:3" ht="87.5" x14ac:dyDescent="0.35">
      <c r="A27" s="18" t="s">
        <v>169</v>
      </c>
      <c r="B27" s="20" t="s">
        <v>170</v>
      </c>
      <c r="C27" s="16"/>
    </row>
    <row r="29" spans="1:3" ht="15.5" x14ac:dyDescent="0.35">
      <c r="A29" s="15" t="s">
        <v>171</v>
      </c>
    </row>
    <row r="30" spans="1:3" ht="15" customHeight="1" x14ac:dyDescent="0.35">
      <c r="A30" s="1" t="s">
        <v>172</v>
      </c>
      <c r="B30" s="1"/>
      <c r="C30" s="1"/>
    </row>
    <row r="31" spans="1:3" ht="15" customHeight="1" x14ac:dyDescent="0.35">
      <c r="A31" s="1" t="s">
        <v>173</v>
      </c>
      <c r="B31" s="1"/>
      <c r="C31" s="1"/>
    </row>
    <row r="32" spans="1:3" ht="15" customHeight="1" x14ac:dyDescent="0.35">
      <c r="A32" s="1" t="s">
        <v>174</v>
      </c>
      <c r="B32" s="1"/>
      <c r="C32" s="1"/>
    </row>
    <row r="33" spans="1:3" ht="15" customHeight="1" x14ac:dyDescent="0.35">
      <c r="A33" s="1" t="s">
        <v>175</v>
      </c>
      <c r="B33" s="1"/>
      <c r="C33" s="1"/>
    </row>
    <row r="34" spans="1:3" ht="15" customHeight="1" x14ac:dyDescent="0.35">
      <c r="A34" s="1" t="s">
        <v>176</v>
      </c>
      <c r="B34" s="1"/>
      <c r="C34" s="1"/>
    </row>
  </sheetData>
  <mergeCells count="6">
    <mergeCell ref="A33:C33"/>
    <mergeCell ref="A34:C34"/>
    <mergeCell ref="A13:C13"/>
    <mergeCell ref="A30:C30"/>
    <mergeCell ref="A31:C31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Engagement Tracker</vt:lpstr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Serfozo</cp:lastModifiedBy>
  <cp:revision>0</cp:revision>
  <dcterms:created xsi:type="dcterms:W3CDTF">2026-09-15T10:51:53Z</dcterms:created>
  <dcterms:modified xsi:type="dcterms:W3CDTF">2026-09-15T11:04:03Z</dcterms:modified>
  <dc:language>en-US</dc:language>
</cp:coreProperties>
</file>