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8_{C1405208-412A-46D9-8BFF-3AA5B5BCEC8A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Warm-Up" sheetId="1" r:id="rId1"/>
    <sheet name="Engagement Tracker" sheetId="3" r:id="rId2"/>
    <sheet name="Formula Practice" sheetId="4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4" l="1"/>
  <c r="B9" i="4"/>
</calcChain>
</file>

<file path=xl/sharedStrings.xml><?xml version="1.0" encoding="utf-8"?>
<sst xmlns="http://schemas.openxmlformats.org/spreadsheetml/2006/main" count="453" uniqueCount="128">
  <si>
    <t>Item</t>
  </si>
  <si>
    <t>Price</t>
  </si>
  <si>
    <t>Quantity</t>
  </si>
  <si>
    <t>Total</t>
  </si>
  <si>
    <t>Apples</t>
  </si>
  <si>
    <t>Bread</t>
  </si>
  <si>
    <t>Milk</t>
  </si>
  <si>
    <t>Eggs</t>
  </si>
  <si>
    <t>Bananas</t>
  </si>
  <si>
    <t>Cheese</t>
  </si>
  <si>
    <t>Total Spent</t>
  </si>
  <si>
    <t>Engagement ID</t>
  </si>
  <si>
    <t>Client Name</t>
  </si>
  <si>
    <t>Client Type</t>
  </si>
  <si>
    <t>Engagement Type</t>
  </si>
  <si>
    <t>Analyst Assigned</t>
  </si>
  <si>
    <t>Region</t>
  </si>
  <si>
    <t>Risk Rating</t>
  </si>
  <si>
    <t>Priority</t>
  </si>
  <si>
    <t>Status</t>
  </si>
  <si>
    <t>Start Date</t>
  </si>
  <si>
    <t>Due Date</t>
  </si>
  <si>
    <t>Hours Logged</t>
  </si>
  <si>
    <t>Billable Rate</t>
  </si>
  <si>
    <t>Amount Billed</t>
  </si>
  <si>
    <t>Budgeted Hours</t>
  </si>
  <si>
    <t>Hours Variance %</t>
  </si>
  <si>
    <t>Est. Cost/Hr</t>
  </si>
  <si>
    <t>Margin %</t>
  </si>
  <si>
    <t>Overtime Hours</t>
  </si>
  <si>
    <t>Validation Flag</t>
  </si>
  <si>
    <t>ASSUMPTIONS (use as an absolute reference in your formulas)</t>
  </si>
  <si>
    <t>ENG-1001</t>
  </si>
  <si>
    <t>Riverbend Financial Group</t>
  </si>
  <si>
    <t>Retail Bank</t>
  </si>
  <si>
    <t>Sanctions Screening</t>
  </si>
  <si>
    <t>R. Patel</t>
  </si>
  <si>
    <t>Southeast</t>
  </si>
  <si>
    <t>Low</t>
  </si>
  <si>
    <t>High</t>
  </si>
  <si>
    <t>On Hold</t>
  </si>
  <si>
    <t>Standard Overtime Threshold (hrs/engagement)</t>
  </si>
  <si>
    <t>ENG-1002</t>
  </si>
  <si>
    <t>Correspondent Bank</t>
  </si>
  <si>
    <t>AML Investigation</t>
  </si>
  <si>
    <t>K. Brooks</t>
  </si>
  <si>
    <t>West</t>
  </si>
  <si>
    <t>Medium</t>
  </si>
  <si>
    <t>Under Review</t>
  </si>
  <si>
    <t>ENG-1003</t>
  </si>
  <si>
    <t>Meridian Community Bank</t>
  </si>
  <si>
    <t>KYC Review</t>
  </si>
  <si>
    <t>S. Okafor</t>
  </si>
  <si>
    <t>Northeast</t>
  </si>
  <si>
    <t>ENG-1004</t>
  </si>
  <si>
    <t>ENG-1005</t>
  </si>
  <si>
    <t>Credit Union</t>
  </si>
  <si>
    <t>Transaction Monitoring</t>
  </si>
  <si>
    <t>Not Started</t>
  </si>
  <si>
    <t>ENG-1006</t>
  </si>
  <si>
    <t>Cobalt Trust &amp; Savings</t>
  </si>
  <si>
    <t>Regional Bank</t>
  </si>
  <si>
    <t>M. Chen</t>
  </si>
  <si>
    <t>ENG-1007</t>
  </si>
  <si>
    <t>Harborview National Bank</t>
  </si>
  <si>
    <t>ENG-1008</t>
  </si>
  <si>
    <t>J. Alvarez</t>
  </si>
  <si>
    <t>Completed</t>
  </si>
  <si>
    <t>ENG-1009</t>
  </si>
  <si>
    <t>T. Nguyen</t>
  </si>
  <si>
    <t>Midwest</t>
  </si>
  <si>
    <t>ENG-1010</t>
  </si>
  <si>
    <t>In Progress</t>
  </si>
  <si>
    <t>ENG-1011</t>
  </si>
  <si>
    <t>ENG-1012</t>
  </si>
  <si>
    <t>Compliance Audit</t>
  </si>
  <si>
    <t>Urgent</t>
  </si>
  <si>
    <t>ENG-1013</t>
  </si>
  <si>
    <t>SAR Filing</t>
  </si>
  <si>
    <t>ENG-1014</t>
  </si>
  <si>
    <t>ENG-1015</t>
  </si>
  <si>
    <t>ENG-1016</t>
  </si>
  <si>
    <t>ENG-1017</t>
  </si>
  <si>
    <t>Fintech Partner</t>
  </si>
  <si>
    <t>ENG-1018</t>
  </si>
  <si>
    <t>Southwest</t>
  </si>
  <si>
    <t>ENG-1019</t>
  </si>
  <si>
    <t>ENG-1020</t>
  </si>
  <si>
    <t>ENG-1021</t>
  </si>
  <si>
    <t>ENG-1022</t>
  </si>
  <si>
    <t>ENG-1023</t>
  </si>
  <si>
    <t>ENG-1024</t>
  </si>
  <si>
    <t>ENG-1025</t>
  </si>
  <si>
    <t>ENG-1026</t>
  </si>
  <si>
    <t>ENG-1027</t>
  </si>
  <si>
    <t>ENG-1028</t>
  </si>
  <si>
    <t>ENG-1029</t>
  </si>
  <si>
    <t>ENG-1030</t>
  </si>
  <si>
    <t>ENG-1031</t>
  </si>
  <si>
    <t>ENG-1032</t>
  </si>
  <si>
    <t>ENG-1033</t>
  </si>
  <si>
    <t>ENG-1034</t>
  </si>
  <si>
    <t>ENG-1035</t>
  </si>
  <si>
    <t>ENG-1036</t>
  </si>
  <si>
    <t>ENG-1037</t>
  </si>
  <si>
    <t>ENG-1038</t>
  </si>
  <si>
    <t>ENG-1039</t>
  </si>
  <si>
    <t>ENG-1040</t>
  </si>
  <si>
    <t>ENG-1041</t>
  </si>
  <si>
    <t>ENG-1042</t>
  </si>
  <si>
    <t>ENG-1043</t>
  </si>
  <si>
    <t>ENG-1044</t>
  </si>
  <si>
    <t>ENG-1045</t>
  </si>
  <si>
    <t>SECTION 1 - Summary Formulas</t>
  </si>
  <si>
    <t>Total Amount Billed (SUM)</t>
  </si>
  <si>
    <t>Sum the 'Amount Billed' column on the Engagement Tracker tab.</t>
  </si>
  <si>
    <t>Number of Engagements (COUNT)</t>
  </si>
  <si>
    <t>Count numeric Hours Logged entries on the Engagement Tracker tab.</t>
  </si>
  <si>
    <t>Average Hours Logged (AVERAGE)</t>
  </si>
  <si>
    <t>Average the 'Hours Logged' column.</t>
  </si>
  <si>
    <t>Analysts Assigned - Non-blank Count (COUNTA)</t>
  </si>
  <si>
    <t>Count non-blank cells in 'Analyst Assigned'.</t>
  </si>
  <si>
    <t>SECTION 2 - Error Types</t>
  </si>
  <si>
    <t>Label</t>
  </si>
  <si>
    <t>Example (already broken - do not edit)</t>
  </si>
  <si>
    <t>Your Fix (wrap with IFERROR)</t>
  </si>
  <si>
    <t>#N/A example (MATCH can't find the value)</t>
  </si>
  <si>
    <t>#VALUE example (text +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</si>
</sst>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"/>
    <numFmt numFmtId="166" formatCode="0.0%"/>
  </numFmts>
  <fonts count="11">
    <font>
      <sz val="11"/>
      <color theme="1"/>
      <name val="Calibri"/>
      <family val="2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.5"/>
      <name val="Arial"/>
      <charset val="1"/>
    </font>
    <font>
      <sz val="11"/>
      <name val="Arial"/>
      <charset val="1"/>
    </font>
    <font>
      <sz val="10.5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1" fontId="9" fillId="3" borderId="0" xfId="0" applyNumberFormat="1" applyFont="1" applyFill="1"/>
    <xf numFmtId="0" fontId="8" fillId="0" borderId="0" xfId="0" applyFont="1"/>
    <xf numFmtId="0" fontId="1" fillId="0" borderId="0" xfId="0" applyFont="1"/>
    <xf numFmtId="0" fontId="3" fillId="0" borderId="0" xfId="0" applyFont="1"/>
    <xf numFmtId="0" fontId="10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ngagement" displayName="tbl_engagement" ref="A1:T46" totalsRowShown="0">
  <autoFilter ref="A1:T46" xr:uid="{00000000-0009-0000-0100-000001000000}"/>
  <tableColumns count="20">
    <tableColumn id="1" xr3:uid="{00000000-0010-0000-0000-000001000000}" name="Engagement ID"/>
    <tableColumn id="2" xr3:uid="{00000000-0010-0000-0000-000002000000}" name="Client Name"/>
    <tableColumn id="3" xr3:uid="{00000000-0010-0000-0000-000003000000}" name="Client Type"/>
    <tableColumn id="4" xr3:uid="{00000000-0010-0000-0000-000004000000}" name="Engagement Type"/>
    <tableColumn id="5" xr3:uid="{00000000-0010-0000-0000-000005000000}" name="Analyst Assigned"/>
    <tableColumn id="6" xr3:uid="{00000000-0010-0000-0000-000006000000}" name="Region"/>
    <tableColumn id="7" xr3:uid="{00000000-0010-0000-0000-000007000000}" name="Risk Rating"/>
    <tableColumn id="8" xr3:uid="{00000000-0010-0000-0000-000008000000}" name="Priority"/>
    <tableColumn id="9" xr3:uid="{00000000-0010-0000-0000-000009000000}" name="Status"/>
    <tableColumn id="10" xr3:uid="{00000000-0010-0000-0000-00000A000000}" name="Start Date"/>
    <tableColumn id="11" xr3:uid="{00000000-0010-0000-0000-00000B000000}" name="Due Date"/>
    <tableColumn id="12" xr3:uid="{00000000-0010-0000-0000-00000C000000}" name="Hours Logged"/>
    <tableColumn id="13" xr3:uid="{00000000-0010-0000-0000-00000D000000}" name="Billable Rate"/>
    <tableColumn id="14" xr3:uid="{00000000-0010-0000-0000-00000E000000}" name="Amount Billed"/>
    <tableColumn id="15" xr3:uid="{00000000-0010-0000-0000-00000F000000}" name="Budgeted Hours"/>
    <tableColumn id="16" xr3:uid="{00000000-0010-0000-0000-000010000000}" name="Hours Variance %"/>
    <tableColumn id="17" xr3:uid="{00000000-0010-0000-0000-000011000000}" name="Est. Cost/Hr"/>
    <tableColumn id="18" xr3:uid="{00000000-0010-0000-0000-000012000000}" name="Margin %"/>
    <tableColumn id="19" xr3:uid="{00000000-0010-0000-0000-000013000000}" name="Overtime Hours"/>
    <tableColumn id="20" xr3:uid="{00000000-0010-0000-0000-000014000000}" name="Validation Fla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Normal="100" workbookViewId="0">
      <selection activeCell="D6" sqref="D6"/>
    </sheetView>
  </sheetViews>
  <sheetFormatPr defaultColWidth="8.5703125" defaultRowHeight="14.45"/>
  <cols>
    <col min="1" max="1" width="16" customWidth="1"/>
    <col min="2" max="3" width="12" customWidth="1"/>
    <col min="4" max="4" width="14" customWidth="1"/>
    <col min="5" max="5" width="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F1" s="2"/>
    </row>
    <row r="2" spans="1:6">
      <c r="A2" s="3" t="s">
        <v>4</v>
      </c>
      <c r="B2" s="4">
        <v>0.5</v>
      </c>
      <c r="C2" s="3">
        <v>12</v>
      </c>
      <c r="D2" s="9"/>
      <c r="F2" s="5"/>
    </row>
    <row r="3" spans="1:6">
      <c r="A3" s="3" t="s">
        <v>5</v>
      </c>
      <c r="B3" s="4">
        <v>3.25</v>
      </c>
      <c r="C3" s="3">
        <v>4</v>
      </c>
      <c r="D3" s="9"/>
      <c r="F3" s="5"/>
    </row>
    <row r="4" spans="1:6">
      <c r="A4" s="3" t="s">
        <v>6</v>
      </c>
      <c r="B4" s="4">
        <v>2.99</v>
      </c>
      <c r="C4" s="3">
        <v>6</v>
      </c>
      <c r="D4" s="9"/>
      <c r="F4" s="5"/>
    </row>
    <row r="5" spans="1:6">
      <c r="A5" s="3" t="s">
        <v>7</v>
      </c>
      <c r="B5" s="4">
        <v>4.0999999999999996</v>
      </c>
      <c r="C5" s="3">
        <v>3</v>
      </c>
      <c r="D5" s="9"/>
      <c r="F5" s="5"/>
    </row>
    <row r="6" spans="1:6">
      <c r="A6" s="3" t="s">
        <v>8</v>
      </c>
      <c r="B6" s="4">
        <v>0.35</v>
      </c>
      <c r="C6" s="3">
        <v>20</v>
      </c>
      <c r="D6" s="9"/>
      <c r="F6" s="5"/>
    </row>
    <row r="7" spans="1:6">
      <c r="A7" s="3" t="s">
        <v>9</v>
      </c>
      <c r="B7" s="4">
        <v>5.75</v>
      </c>
      <c r="C7" s="3">
        <v>2</v>
      </c>
      <c r="D7" s="9"/>
    </row>
    <row r="9" spans="1:6">
      <c r="A9" s="6" t="s">
        <v>10</v>
      </c>
      <c r="D9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6"/>
  <sheetViews>
    <sheetView tabSelected="1" zoomScaleNormal="100" workbookViewId="0">
      <pane ySplit="1" topLeftCell="R21" activePane="bottomLeft" state="frozen"/>
      <selection pane="bottomLeft" activeCell="Z1" sqref="Z1:Z1048576"/>
    </sheetView>
  </sheetViews>
  <sheetFormatPr defaultColWidth="8.5703125" defaultRowHeight="14.45"/>
  <cols>
    <col min="1" max="1" width="16" customWidth="1"/>
    <col min="2" max="2" width="24" customWidth="1"/>
    <col min="3" max="3" width="16" customWidth="1"/>
    <col min="4" max="4" width="20" customWidth="1"/>
    <col min="5" max="19" width="16" customWidth="1"/>
    <col min="20" max="20" width="22" customWidth="1"/>
    <col min="23" max="23" width="40" customWidth="1"/>
    <col min="25" max="25" width="3" customWidth="1"/>
  </cols>
  <sheetData>
    <row r="1" spans="1:23" ht="1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W1" s="7" t="s">
        <v>31</v>
      </c>
    </row>
    <row r="2" spans="1:2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s="8">
        <v>46049</v>
      </c>
      <c r="K2" s="8">
        <v>46093</v>
      </c>
      <c r="L2">
        <v>38.200000000000003</v>
      </c>
      <c r="M2" s="9">
        <v>95</v>
      </c>
      <c r="N2" s="9">
        <v>3629</v>
      </c>
      <c r="O2" s="10">
        <v>30.4</v>
      </c>
      <c r="P2" s="11"/>
      <c r="Q2" s="9">
        <v>47.17</v>
      </c>
      <c r="R2" s="11"/>
      <c r="S2" s="10"/>
      <c r="W2" s="12" t="s">
        <v>41</v>
      </c>
    </row>
    <row r="3" spans="1:23" ht="15">
      <c r="A3" t="s">
        <v>42</v>
      </c>
      <c r="B3" t="s">
        <v>33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47</v>
      </c>
      <c r="I3" t="s">
        <v>48</v>
      </c>
      <c r="J3" s="8">
        <v>46028</v>
      </c>
      <c r="K3" s="8">
        <v>46045</v>
      </c>
      <c r="L3">
        <v>60.5</v>
      </c>
      <c r="M3" s="9">
        <v>125</v>
      </c>
      <c r="N3" s="9">
        <v>7562.5</v>
      </c>
      <c r="O3" s="10">
        <v>53.8</v>
      </c>
      <c r="P3" s="11"/>
      <c r="Q3" s="9">
        <v>61.63</v>
      </c>
      <c r="R3" s="11"/>
      <c r="S3" s="10"/>
      <c r="W3" s="13">
        <v>40</v>
      </c>
    </row>
    <row r="4" spans="1:23" ht="15">
      <c r="A4" t="s">
        <v>49</v>
      </c>
      <c r="B4" t="s">
        <v>50</v>
      </c>
      <c r="C4" t="s">
        <v>34</v>
      </c>
      <c r="D4" t="s">
        <v>51</v>
      </c>
      <c r="E4" t="s">
        <v>52</v>
      </c>
      <c r="F4" t="s">
        <v>53</v>
      </c>
      <c r="G4" t="s">
        <v>38</v>
      </c>
      <c r="H4" t="s">
        <v>47</v>
      </c>
      <c r="I4" t="s">
        <v>48</v>
      </c>
      <c r="J4" s="8">
        <v>46038</v>
      </c>
      <c r="K4" s="8">
        <v>46074</v>
      </c>
      <c r="L4">
        <v>47.4</v>
      </c>
      <c r="M4" s="9">
        <v>140</v>
      </c>
      <c r="N4" s="9">
        <v>6636</v>
      </c>
      <c r="O4" s="10">
        <v>37.4</v>
      </c>
      <c r="P4" s="11"/>
      <c r="Q4" s="9">
        <v>71.209999999999994</v>
      </c>
      <c r="R4" s="11"/>
      <c r="S4" s="10"/>
    </row>
    <row r="5" spans="1:23" ht="15">
      <c r="A5" t="s">
        <v>54</v>
      </c>
      <c r="B5" t="s">
        <v>50</v>
      </c>
      <c r="C5" t="s">
        <v>43</v>
      </c>
      <c r="D5" t="s">
        <v>44</v>
      </c>
      <c r="E5" t="s">
        <v>45</v>
      </c>
      <c r="F5" t="s">
        <v>53</v>
      </c>
      <c r="G5" t="s">
        <v>38</v>
      </c>
      <c r="H5" t="s">
        <v>38</v>
      </c>
      <c r="I5" t="s">
        <v>48</v>
      </c>
      <c r="J5" s="8">
        <v>46047</v>
      </c>
      <c r="K5" s="8">
        <v>46042</v>
      </c>
      <c r="L5">
        <v>74.2</v>
      </c>
      <c r="M5" s="9">
        <v>140</v>
      </c>
      <c r="N5" s="9">
        <v>10388</v>
      </c>
      <c r="O5" s="10">
        <v>66</v>
      </c>
      <c r="P5" s="11"/>
      <c r="Q5" s="9">
        <v>80.8</v>
      </c>
      <c r="R5" s="11"/>
      <c r="S5" s="10"/>
    </row>
    <row r="6" spans="1:23">
      <c r="A6" t="s">
        <v>55</v>
      </c>
      <c r="B6" t="s">
        <v>50</v>
      </c>
      <c r="C6" t="s">
        <v>56</v>
      </c>
      <c r="D6" t="s">
        <v>57</v>
      </c>
      <c r="E6" t="s">
        <v>36</v>
      </c>
      <c r="F6" t="s">
        <v>37</v>
      </c>
      <c r="G6" t="s">
        <v>47</v>
      </c>
      <c r="H6" t="s">
        <v>39</v>
      </c>
      <c r="I6" t="s">
        <v>58</v>
      </c>
      <c r="J6" s="8">
        <v>46182</v>
      </c>
      <c r="K6" s="8">
        <v>46199</v>
      </c>
      <c r="L6">
        <v>47.3</v>
      </c>
      <c r="M6" s="9">
        <v>110</v>
      </c>
      <c r="N6" s="9">
        <v>5203</v>
      </c>
      <c r="O6" s="10">
        <v>39.299999999999997</v>
      </c>
      <c r="P6" s="11"/>
      <c r="Q6" s="9">
        <v>57.85</v>
      </c>
      <c r="R6" s="11"/>
      <c r="S6" s="10"/>
    </row>
    <row r="7" spans="1:23" ht="15">
      <c r="A7" t="s">
        <v>59</v>
      </c>
      <c r="B7" t="s">
        <v>60</v>
      </c>
      <c r="C7" t="s">
        <v>61</v>
      </c>
      <c r="D7" t="s">
        <v>51</v>
      </c>
      <c r="E7" t="s">
        <v>62</v>
      </c>
      <c r="F7" t="s">
        <v>53</v>
      </c>
      <c r="G7" t="s">
        <v>39</v>
      </c>
      <c r="H7" t="s">
        <v>47</v>
      </c>
      <c r="I7" t="s">
        <v>58</v>
      </c>
      <c r="J7" s="8">
        <v>46081</v>
      </c>
      <c r="K7" s="8">
        <v>46124</v>
      </c>
      <c r="L7">
        <v>75</v>
      </c>
      <c r="M7" s="9">
        <v>125</v>
      </c>
      <c r="N7" s="9">
        <v>9375</v>
      </c>
      <c r="O7" s="10">
        <v>64.2</v>
      </c>
      <c r="P7" s="11"/>
      <c r="Q7" s="9">
        <v>68.73</v>
      </c>
      <c r="R7" s="11"/>
      <c r="S7" s="10"/>
    </row>
    <row r="8" spans="1:23" ht="15">
      <c r="A8" t="s">
        <v>63</v>
      </c>
      <c r="B8" t="s">
        <v>64</v>
      </c>
      <c r="C8" t="s">
        <v>56</v>
      </c>
      <c r="D8" t="s">
        <v>57</v>
      </c>
      <c r="E8" t="s">
        <v>62</v>
      </c>
      <c r="F8" t="s">
        <v>37</v>
      </c>
      <c r="G8" t="s">
        <v>47</v>
      </c>
      <c r="H8" t="s">
        <v>47</v>
      </c>
      <c r="I8" t="s">
        <v>40</v>
      </c>
      <c r="J8" s="8">
        <v>46136</v>
      </c>
      <c r="K8" s="8">
        <v>46180</v>
      </c>
      <c r="L8">
        <v>36.4</v>
      </c>
      <c r="M8" s="9">
        <v>110</v>
      </c>
      <c r="N8" s="9">
        <v>4004</v>
      </c>
      <c r="O8" s="10">
        <v>45.5</v>
      </c>
      <c r="P8" s="11"/>
      <c r="Q8" s="9">
        <v>52.54</v>
      </c>
      <c r="R8" s="11"/>
      <c r="S8" s="10"/>
    </row>
    <row r="9" spans="1:23" ht="15">
      <c r="A9" t="s">
        <v>65</v>
      </c>
      <c r="B9" t="s">
        <v>64</v>
      </c>
      <c r="C9" t="s">
        <v>34</v>
      </c>
      <c r="D9" t="s">
        <v>51</v>
      </c>
      <c r="E9" t="s">
        <v>66</v>
      </c>
      <c r="F9" t="s">
        <v>37</v>
      </c>
      <c r="G9" t="s">
        <v>47</v>
      </c>
      <c r="H9" t="s">
        <v>39</v>
      </c>
      <c r="I9" t="s">
        <v>67</v>
      </c>
      <c r="J9" s="8">
        <v>46179</v>
      </c>
      <c r="K9" s="8">
        <v>46190</v>
      </c>
      <c r="L9">
        <v>35.200000000000003</v>
      </c>
      <c r="M9" s="9">
        <v>160</v>
      </c>
      <c r="N9" s="9">
        <v>5632</v>
      </c>
      <c r="O9" s="10">
        <v>43.9</v>
      </c>
      <c r="P9" s="11"/>
      <c r="Q9" s="9">
        <v>88.93</v>
      </c>
      <c r="R9" s="11"/>
      <c r="S9" s="10"/>
    </row>
    <row r="10" spans="1:23">
      <c r="A10" t="s">
        <v>68</v>
      </c>
      <c r="B10" t="s">
        <v>33</v>
      </c>
      <c r="C10" t="s">
        <v>34</v>
      </c>
      <c r="D10" t="s">
        <v>35</v>
      </c>
      <c r="E10" t="s">
        <v>69</v>
      </c>
      <c r="F10" t="s">
        <v>70</v>
      </c>
      <c r="G10" t="s">
        <v>47</v>
      </c>
      <c r="H10" t="s">
        <v>47</v>
      </c>
      <c r="I10" t="s">
        <v>48</v>
      </c>
      <c r="J10" s="8">
        <v>46138</v>
      </c>
      <c r="K10" s="8">
        <v>46155</v>
      </c>
      <c r="L10">
        <v>40.799999999999997</v>
      </c>
      <c r="M10" s="9">
        <v>175</v>
      </c>
      <c r="N10" s="9">
        <v>7140</v>
      </c>
      <c r="O10" s="10">
        <v>48.5</v>
      </c>
      <c r="P10" s="11"/>
      <c r="Q10" s="9">
        <v>87.97</v>
      </c>
      <c r="R10" s="11"/>
      <c r="S10" s="10"/>
    </row>
    <row r="11" spans="1:23" ht="15">
      <c r="A11" t="s">
        <v>71</v>
      </c>
      <c r="B11" t="s">
        <v>60</v>
      </c>
      <c r="C11" t="s">
        <v>43</v>
      </c>
      <c r="D11" t="s">
        <v>51</v>
      </c>
      <c r="E11" t="s">
        <v>45</v>
      </c>
      <c r="F11" t="s">
        <v>70</v>
      </c>
      <c r="G11" t="s">
        <v>39</v>
      </c>
      <c r="H11" t="s">
        <v>47</v>
      </c>
      <c r="I11" t="s">
        <v>72</v>
      </c>
      <c r="J11" s="8">
        <v>46066</v>
      </c>
      <c r="K11" s="8">
        <v>46096</v>
      </c>
      <c r="L11">
        <v>0</v>
      </c>
      <c r="M11" s="9">
        <v>160</v>
      </c>
      <c r="N11" s="9">
        <v>10528</v>
      </c>
      <c r="O11" s="10">
        <v>80.7</v>
      </c>
      <c r="P11" s="11"/>
      <c r="Q11" s="9">
        <v>101.52</v>
      </c>
      <c r="R11" s="11"/>
      <c r="S11" s="10"/>
    </row>
    <row r="12" spans="1:23" ht="15">
      <c r="A12" t="s">
        <v>73</v>
      </c>
      <c r="B12" t="s">
        <v>33</v>
      </c>
      <c r="C12" t="s">
        <v>43</v>
      </c>
      <c r="D12" t="s">
        <v>57</v>
      </c>
      <c r="E12" t="s">
        <v>52</v>
      </c>
      <c r="F12" t="s">
        <v>53</v>
      </c>
      <c r="G12" t="s">
        <v>38</v>
      </c>
      <c r="H12" t="s">
        <v>47</v>
      </c>
      <c r="I12" t="s">
        <v>48</v>
      </c>
      <c r="J12" s="8">
        <v>46088</v>
      </c>
      <c r="K12" s="8">
        <v>46098</v>
      </c>
      <c r="L12">
        <v>23.5</v>
      </c>
      <c r="M12" s="9">
        <v>160</v>
      </c>
      <c r="N12" s="9">
        <v>3760</v>
      </c>
      <c r="O12" s="10">
        <v>28.8</v>
      </c>
      <c r="P12" s="11"/>
      <c r="Q12" s="9">
        <v>74.739999999999995</v>
      </c>
      <c r="R12" s="11"/>
      <c r="S12" s="10"/>
    </row>
    <row r="13" spans="1:23" ht="15">
      <c r="A13" t="s">
        <v>74</v>
      </c>
      <c r="B13" t="s">
        <v>64</v>
      </c>
      <c r="C13" t="s">
        <v>34</v>
      </c>
      <c r="D13" t="s">
        <v>75</v>
      </c>
      <c r="E13" t="s">
        <v>62</v>
      </c>
      <c r="F13" t="s">
        <v>37</v>
      </c>
      <c r="G13" t="s">
        <v>47</v>
      </c>
      <c r="H13" t="s">
        <v>76</v>
      </c>
      <c r="I13" t="s">
        <v>72</v>
      </c>
      <c r="J13" s="8">
        <v>46094</v>
      </c>
      <c r="K13" s="8">
        <v>46134</v>
      </c>
      <c r="L13">
        <v>74.7</v>
      </c>
      <c r="M13" s="9">
        <v>140</v>
      </c>
      <c r="N13" s="9">
        <v>10458</v>
      </c>
      <c r="O13" s="10">
        <v>92</v>
      </c>
      <c r="P13" s="11"/>
      <c r="Q13" s="9">
        <v>89.01</v>
      </c>
      <c r="R13" s="11"/>
      <c r="S13" s="10"/>
    </row>
    <row r="14" spans="1:23" ht="15">
      <c r="A14" t="s">
        <v>77</v>
      </c>
      <c r="B14" t="s">
        <v>60</v>
      </c>
      <c r="C14" t="s">
        <v>61</v>
      </c>
      <c r="D14" t="s">
        <v>78</v>
      </c>
      <c r="E14" t="s">
        <v>45</v>
      </c>
      <c r="F14" t="s">
        <v>70</v>
      </c>
      <c r="G14" t="s">
        <v>47</v>
      </c>
      <c r="H14" t="s">
        <v>47</v>
      </c>
      <c r="I14" t="s">
        <v>58</v>
      </c>
      <c r="J14" s="8">
        <v>46090</v>
      </c>
      <c r="K14" s="8">
        <v>46111</v>
      </c>
      <c r="L14">
        <v>9.1999999999999993</v>
      </c>
      <c r="M14" s="9">
        <v>95</v>
      </c>
      <c r="N14" s="9">
        <v>874</v>
      </c>
      <c r="O14" s="10">
        <v>9.6</v>
      </c>
      <c r="P14" s="11"/>
      <c r="Q14" s="9">
        <v>47.12</v>
      </c>
      <c r="R14" s="11"/>
      <c r="S14" s="10"/>
    </row>
    <row r="15" spans="1:23">
      <c r="A15" t="s">
        <v>79</v>
      </c>
      <c r="B15" t="s">
        <v>60</v>
      </c>
      <c r="C15" t="s">
        <v>34</v>
      </c>
      <c r="D15" t="s">
        <v>51</v>
      </c>
      <c r="E15" t="s">
        <v>45</v>
      </c>
      <c r="F15" t="s">
        <v>53</v>
      </c>
      <c r="G15" t="s">
        <v>38</v>
      </c>
      <c r="H15" t="s">
        <v>76</v>
      </c>
      <c r="I15" t="s">
        <v>48</v>
      </c>
      <c r="J15" s="8">
        <v>46045</v>
      </c>
      <c r="K15" s="8">
        <v>46084</v>
      </c>
      <c r="L15">
        <v>23.3</v>
      </c>
      <c r="M15" s="9">
        <v>175</v>
      </c>
      <c r="N15" s="9">
        <v>4077.5</v>
      </c>
      <c r="O15" s="10">
        <v>23.1</v>
      </c>
      <c r="P15" s="11"/>
      <c r="Q15" s="9">
        <v>97.62</v>
      </c>
      <c r="R15" s="11"/>
      <c r="S15" s="10"/>
    </row>
    <row r="16" spans="1:23" ht="15">
      <c r="A16" t="s">
        <v>80</v>
      </c>
      <c r="B16" t="s">
        <v>64</v>
      </c>
      <c r="C16" t="s">
        <v>56</v>
      </c>
      <c r="D16" t="s">
        <v>78</v>
      </c>
      <c r="E16" t="s">
        <v>52</v>
      </c>
      <c r="F16" t="s">
        <v>37</v>
      </c>
      <c r="G16" t="s">
        <v>38</v>
      </c>
      <c r="H16" t="s">
        <v>39</v>
      </c>
      <c r="I16" t="s">
        <v>48</v>
      </c>
      <c r="J16" s="8">
        <v>46135</v>
      </c>
      <c r="K16" s="8">
        <v>46168</v>
      </c>
      <c r="L16">
        <v>41.8</v>
      </c>
      <c r="M16" s="9">
        <v>175</v>
      </c>
      <c r="N16" s="9">
        <v>7315</v>
      </c>
      <c r="O16" s="10">
        <v>32.5</v>
      </c>
      <c r="P16" s="11"/>
      <c r="Q16" s="9">
        <v>101.62</v>
      </c>
      <c r="R16" s="11"/>
      <c r="S16" s="10"/>
    </row>
    <row r="17" spans="1:19" ht="15">
      <c r="A17" t="s">
        <v>81</v>
      </c>
      <c r="B17" t="s">
        <v>33</v>
      </c>
      <c r="C17" t="s">
        <v>34</v>
      </c>
      <c r="D17" t="s">
        <v>78</v>
      </c>
      <c r="E17" t="s">
        <v>45</v>
      </c>
      <c r="F17" t="s">
        <v>70</v>
      </c>
      <c r="G17" t="s">
        <v>39</v>
      </c>
      <c r="H17" t="s">
        <v>38</v>
      </c>
      <c r="I17" t="s">
        <v>72</v>
      </c>
      <c r="J17" s="8">
        <v>46075</v>
      </c>
      <c r="K17" s="8">
        <v>46116</v>
      </c>
      <c r="L17">
        <v>40.299999999999997</v>
      </c>
      <c r="M17" s="9">
        <v>140</v>
      </c>
      <c r="N17" s="9">
        <v>5642</v>
      </c>
      <c r="O17" s="10">
        <v>33.9</v>
      </c>
      <c r="P17" s="11"/>
      <c r="Q17" s="9">
        <v>75.95</v>
      </c>
      <c r="R17" s="11"/>
      <c r="S17" s="10"/>
    </row>
    <row r="18" spans="1:19" ht="15">
      <c r="A18" t="s">
        <v>82</v>
      </c>
      <c r="B18" t="s">
        <v>33</v>
      </c>
      <c r="C18" t="s">
        <v>83</v>
      </c>
      <c r="D18" t="s">
        <v>75</v>
      </c>
      <c r="E18" t="s">
        <v>66</v>
      </c>
      <c r="F18" t="s">
        <v>53</v>
      </c>
      <c r="G18" t="s">
        <v>47</v>
      </c>
      <c r="H18" t="s">
        <v>47</v>
      </c>
      <c r="I18" t="s">
        <v>58</v>
      </c>
      <c r="J18" s="8">
        <v>46050</v>
      </c>
      <c r="K18" s="8">
        <v>46072</v>
      </c>
      <c r="L18">
        <v>17.5</v>
      </c>
      <c r="M18" s="9">
        <v>140</v>
      </c>
      <c r="N18" s="9">
        <v>2450</v>
      </c>
      <c r="O18" s="10">
        <v>17.3</v>
      </c>
      <c r="P18" s="11"/>
      <c r="Q18" s="9">
        <v>87.21</v>
      </c>
      <c r="R18" s="11"/>
      <c r="S18" s="10"/>
    </row>
    <row r="19" spans="1:19">
      <c r="A19" t="s">
        <v>84</v>
      </c>
      <c r="B19" t="s">
        <v>33</v>
      </c>
      <c r="C19" t="s">
        <v>56</v>
      </c>
      <c r="D19" t="s">
        <v>78</v>
      </c>
      <c r="E19" t="s">
        <v>66</v>
      </c>
      <c r="F19" t="s">
        <v>85</v>
      </c>
      <c r="G19" t="s">
        <v>38</v>
      </c>
      <c r="H19" t="s">
        <v>39</v>
      </c>
      <c r="I19" t="s">
        <v>67</v>
      </c>
      <c r="J19" s="8">
        <v>46100</v>
      </c>
      <c r="K19" s="8">
        <v>46134</v>
      </c>
      <c r="L19">
        <v>60.4</v>
      </c>
      <c r="M19" s="9">
        <v>175</v>
      </c>
      <c r="N19" s="9">
        <v>10570</v>
      </c>
      <c r="O19" s="10">
        <v>75.400000000000006</v>
      </c>
      <c r="P19" s="11"/>
      <c r="Q19" s="9">
        <v>98.2</v>
      </c>
      <c r="R19" s="11"/>
      <c r="S19" s="10"/>
    </row>
    <row r="20" spans="1:19" ht="15">
      <c r="A20" t="s">
        <v>86</v>
      </c>
      <c r="B20" t="s">
        <v>64</v>
      </c>
      <c r="C20" t="s">
        <v>56</v>
      </c>
      <c r="D20" t="s">
        <v>44</v>
      </c>
      <c r="E20" t="s">
        <v>36</v>
      </c>
      <c r="F20" t="s">
        <v>37</v>
      </c>
      <c r="G20" t="s">
        <v>39</v>
      </c>
      <c r="H20" t="s">
        <v>47</v>
      </c>
      <c r="I20" t="s">
        <v>40</v>
      </c>
      <c r="J20" s="8">
        <v>46042</v>
      </c>
      <c r="K20" s="8">
        <v>46069</v>
      </c>
      <c r="L20">
        <v>8.6</v>
      </c>
      <c r="M20" s="9">
        <v>160</v>
      </c>
      <c r="N20" s="9">
        <v>1376</v>
      </c>
      <c r="O20" s="10">
        <v>8.5</v>
      </c>
      <c r="P20" s="11"/>
      <c r="Q20" s="9">
        <v>101.42</v>
      </c>
      <c r="R20" s="11"/>
      <c r="S20" s="10"/>
    </row>
    <row r="21" spans="1:19" ht="15">
      <c r="A21" t="s">
        <v>87</v>
      </c>
      <c r="B21" t="s">
        <v>60</v>
      </c>
      <c r="C21" t="s">
        <v>34</v>
      </c>
      <c r="D21" t="s">
        <v>75</v>
      </c>
      <c r="E21" t="s">
        <v>66</v>
      </c>
      <c r="F21" t="s">
        <v>37</v>
      </c>
      <c r="G21" t="s">
        <v>38</v>
      </c>
      <c r="H21" t="s">
        <v>38</v>
      </c>
      <c r="I21" t="s">
        <v>72</v>
      </c>
      <c r="J21" s="8">
        <v>46130</v>
      </c>
      <c r="K21" s="8">
        <v>46144</v>
      </c>
      <c r="L21">
        <v>80.3</v>
      </c>
      <c r="M21" s="9">
        <v>160</v>
      </c>
      <c r="N21" s="9">
        <v>12848</v>
      </c>
      <c r="O21" s="10">
        <v>70.099999999999994</v>
      </c>
      <c r="P21" s="11"/>
      <c r="Q21" s="9">
        <v>91.02</v>
      </c>
      <c r="R21" s="11"/>
      <c r="S21" s="10"/>
    </row>
    <row r="22" spans="1:19" ht="15">
      <c r="A22" t="s">
        <v>88</v>
      </c>
      <c r="B22" t="s">
        <v>33</v>
      </c>
      <c r="C22" t="s">
        <v>83</v>
      </c>
      <c r="D22" t="s">
        <v>35</v>
      </c>
      <c r="E22" t="s">
        <v>69</v>
      </c>
      <c r="F22" t="s">
        <v>46</v>
      </c>
      <c r="G22" t="s">
        <v>47</v>
      </c>
      <c r="H22" t="s">
        <v>76</v>
      </c>
      <c r="I22" t="s">
        <v>72</v>
      </c>
      <c r="J22" s="8">
        <v>46107</v>
      </c>
      <c r="K22" s="8">
        <v>46129</v>
      </c>
      <c r="L22">
        <v>25.5</v>
      </c>
      <c r="M22" s="9">
        <v>110</v>
      </c>
      <c r="N22" s="9">
        <v>2805</v>
      </c>
      <c r="O22" s="10">
        <v>27.7</v>
      </c>
      <c r="P22" s="11"/>
      <c r="Q22" s="9">
        <v>56.1</v>
      </c>
      <c r="R22" s="11"/>
      <c r="S22" s="10"/>
    </row>
    <row r="23" spans="1:19">
      <c r="A23" t="s">
        <v>89</v>
      </c>
      <c r="B23" t="s">
        <v>50</v>
      </c>
      <c r="C23" t="s">
        <v>34</v>
      </c>
      <c r="D23" t="s">
        <v>51</v>
      </c>
      <c r="E23" t="s">
        <v>52</v>
      </c>
      <c r="F23" t="s">
        <v>46</v>
      </c>
      <c r="G23" t="s">
        <v>39</v>
      </c>
      <c r="H23" t="s">
        <v>76</v>
      </c>
      <c r="I23" t="s">
        <v>58</v>
      </c>
      <c r="J23" s="8">
        <v>46164</v>
      </c>
      <c r="K23" s="8">
        <v>46184</v>
      </c>
      <c r="L23">
        <v>45</v>
      </c>
      <c r="M23" s="9">
        <v>110</v>
      </c>
      <c r="N23" s="9">
        <v>4950</v>
      </c>
      <c r="O23" s="10">
        <v>54.7</v>
      </c>
      <c r="P23" s="11"/>
      <c r="Q23" s="9">
        <v>68.88</v>
      </c>
      <c r="R23" s="11"/>
      <c r="S23" s="10"/>
    </row>
    <row r="24" spans="1:19" ht="15">
      <c r="A24" t="s">
        <v>90</v>
      </c>
      <c r="B24" t="s">
        <v>60</v>
      </c>
      <c r="C24" t="s">
        <v>61</v>
      </c>
      <c r="D24" t="s">
        <v>57</v>
      </c>
      <c r="E24" t="s">
        <v>62</v>
      </c>
      <c r="F24" t="s">
        <v>85</v>
      </c>
      <c r="G24" t="s">
        <v>39</v>
      </c>
      <c r="H24" t="s">
        <v>39</v>
      </c>
      <c r="I24" t="s">
        <v>40</v>
      </c>
      <c r="J24" s="8">
        <v>46162</v>
      </c>
      <c r="K24" s="8">
        <v>46169</v>
      </c>
      <c r="L24">
        <v>58.1</v>
      </c>
      <c r="M24" s="9">
        <v>160</v>
      </c>
      <c r="N24" s="9">
        <v>9296</v>
      </c>
      <c r="O24" s="10">
        <v>52.3</v>
      </c>
      <c r="P24" s="11"/>
      <c r="Q24" s="9">
        <v>93.23</v>
      </c>
      <c r="R24" s="11"/>
      <c r="S24" s="10"/>
    </row>
    <row r="25" spans="1:19" ht="15">
      <c r="A25" t="s">
        <v>91</v>
      </c>
      <c r="B25" t="s">
        <v>60</v>
      </c>
      <c r="C25" t="s">
        <v>61</v>
      </c>
      <c r="D25" t="s">
        <v>51</v>
      </c>
      <c r="E25" t="s">
        <v>66</v>
      </c>
      <c r="F25" t="s">
        <v>46</v>
      </c>
      <c r="G25" t="s">
        <v>38</v>
      </c>
      <c r="H25" t="s">
        <v>47</v>
      </c>
      <c r="I25" t="s">
        <v>72</v>
      </c>
      <c r="J25" s="8">
        <v>46114</v>
      </c>
      <c r="K25" s="8">
        <v>46134</v>
      </c>
      <c r="L25">
        <v>59.7</v>
      </c>
      <c r="M25" s="9">
        <v>125</v>
      </c>
      <c r="N25" s="9">
        <v>7462.5</v>
      </c>
      <c r="O25" s="10">
        <v>59.9</v>
      </c>
      <c r="P25" s="11"/>
      <c r="Q25" s="9">
        <v>62.53</v>
      </c>
      <c r="R25" s="11"/>
      <c r="S25" s="10"/>
    </row>
    <row r="26" spans="1:19" ht="15">
      <c r="A26" t="s">
        <v>92</v>
      </c>
      <c r="B26" t="s">
        <v>33</v>
      </c>
      <c r="C26" t="s">
        <v>34</v>
      </c>
      <c r="D26" t="s">
        <v>35</v>
      </c>
      <c r="E26" t="s">
        <v>52</v>
      </c>
      <c r="F26" t="s">
        <v>70</v>
      </c>
      <c r="G26" t="s">
        <v>38</v>
      </c>
      <c r="H26" t="s">
        <v>47</v>
      </c>
      <c r="I26" t="s">
        <v>72</v>
      </c>
      <c r="J26" s="8">
        <v>46094</v>
      </c>
      <c r="K26" s="8">
        <v>46111</v>
      </c>
      <c r="L26">
        <v>64</v>
      </c>
      <c r="M26" s="9">
        <v>160</v>
      </c>
      <c r="N26" s="9">
        <v>10240</v>
      </c>
      <c r="O26" s="10">
        <v>70.599999999999994</v>
      </c>
      <c r="P26" s="11"/>
      <c r="Q26" s="9">
        <v>89.95</v>
      </c>
      <c r="R26" s="11"/>
      <c r="S26" s="10"/>
    </row>
    <row r="27" spans="1:19">
      <c r="A27" t="s">
        <v>93</v>
      </c>
      <c r="B27" t="s">
        <v>33</v>
      </c>
      <c r="C27" t="s">
        <v>34</v>
      </c>
      <c r="D27" t="s">
        <v>35</v>
      </c>
      <c r="E27" t="s">
        <v>62</v>
      </c>
      <c r="F27" t="s">
        <v>46</v>
      </c>
      <c r="G27" t="s">
        <v>38</v>
      </c>
      <c r="H27" t="s">
        <v>47</v>
      </c>
      <c r="I27" t="s">
        <v>40</v>
      </c>
      <c r="J27" s="8">
        <v>46064</v>
      </c>
      <c r="K27" s="8">
        <v>46098</v>
      </c>
      <c r="L27">
        <v>14.3</v>
      </c>
      <c r="M27" s="9">
        <v>125</v>
      </c>
      <c r="N27" s="9">
        <v>1787.5</v>
      </c>
      <c r="O27" s="10">
        <v>13.3</v>
      </c>
      <c r="P27" s="11"/>
      <c r="Q27" s="9">
        <v>79.58</v>
      </c>
      <c r="R27" s="11"/>
      <c r="S27" s="10"/>
    </row>
    <row r="28" spans="1:19" ht="15">
      <c r="A28" t="s">
        <v>94</v>
      </c>
      <c r="B28" t="s">
        <v>33</v>
      </c>
      <c r="C28" t="s">
        <v>61</v>
      </c>
      <c r="D28" t="s">
        <v>44</v>
      </c>
      <c r="E28" t="s">
        <v>45</v>
      </c>
      <c r="F28" t="s">
        <v>37</v>
      </c>
      <c r="G28" t="s">
        <v>47</v>
      </c>
      <c r="H28" t="s">
        <v>47</v>
      </c>
      <c r="I28" t="s">
        <v>40</v>
      </c>
      <c r="J28" s="8">
        <v>46131</v>
      </c>
      <c r="K28" s="8">
        <v>46147</v>
      </c>
      <c r="L28">
        <v>79</v>
      </c>
      <c r="M28" s="9">
        <v>110</v>
      </c>
      <c r="N28" s="9">
        <v>8690</v>
      </c>
      <c r="O28" s="10">
        <v>93.4</v>
      </c>
      <c r="P28" s="11"/>
      <c r="Q28" s="9">
        <v>70.98</v>
      </c>
      <c r="R28" s="11"/>
      <c r="S28" s="10"/>
    </row>
    <row r="29" spans="1:19" ht="15">
      <c r="A29" t="s">
        <v>95</v>
      </c>
      <c r="B29" t="s">
        <v>60</v>
      </c>
      <c r="C29" t="s">
        <v>83</v>
      </c>
      <c r="D29" t="s">
        <v>51</v>
      </c>
      <c r="E29" t="s">
        <v>62</v>
      </c>
      <c r="F29" t="s">
        <v>70</v>
      </c>
      <c r="G29" t="s">
        <v>47</v>
      </c>
      <c r="H29" t="s">
        <v>47</v>
      </c>
      <c r="I29" t="s">
        <v>72</v>
      </c>
      <c r="J29" s="8">
        <v>46095</v>
      </c>
      <c r="K29" s="8">
        <v>46112</v>
      </c>
      <c r="L29">
        <v>67.8</v>
      </c>
      <c r="M29" s="9">
        <v>95</v>
      </c>
      <c r="N29" s="9">
        <v>6441</v>
      </c>
      <c r="O29" s="10">
        <v>63.8</v>
      </c>
      <c r="P29" s="11"/>
      <c r="Q29" s="9">
        <v>43.49</v>
      </c>
      <c r="R29" s="11"/>
      <c r="S29" s="10"/>
    </row>
    <row r="30" spans="1:19" ht="15">
      <c r="A30" t="s">
        <v>96</v>
      </c>
      <c r="B30" t="s">
        <v>64</v>
      </c>
      <c r="C30" t="s">
        <v>56</v>
      </c>
      <c r="D30" t="s">
        <v>44</v>
      </c>
      <c r="E30" t="s">
        <v>52</v>
      </c>
      <c r="F30" t="s">
        <v>70</v>
      </c>
      <c r="G30" t="s">
        <v>38</v>
      </c>
      <c r="H30" t="s">
        <v>39</v>
      </c>
      <c r="I30" t="s">
        <v>72</v>
      </c>
      <c r="J30" s="8">
        <v>46084</v>
      </c>
      <c r="K30" s="8">
        <v>46092</v>
      </c>
      <c r="L30">
        <v>57.5</v>
      </c>
      <c r="M30" s="9">
        <v>140</v>
      </c>
      <c r="N30" s="9">
        <v>8050</v>
      </c>
      <c r="O30" s="10">
        <v>52.6</v>
      </c>
      <c r="P30" s="11"/>
      <c r="Q30" s="9">
        <v>87.2</v>
      </c>
      <c r="R30" s="11"/>
      <c r="S30" s="10"/>
    </row>
    <row r="31" spans="1:19" ht="15">
      <c r="A31" t="s">
        <v>97</v>
      </c>
      <c r="B31" t="s">
        <v>50</v>
      </c>
      <c r="C31" t="s">
        <v>61</v>
      </c>
      <c r="D31" t="s">
        <v>35</v>
      </c>
      <c r="E31" t="s">
        <v>69</v>
      </c>
      <c r="F31" t="s">
        <v>85</v>
      </c>
      <c r="G31" t="s">
        <v>47</v>
      </c>
      <c r="H31" t="s">
        <v>39</v>
      </c>
      <c r="I31" t="s">
        <v>48</v>
      </c>
      <c r="J31" s="8">
        <v>46034</v>
      </c>
      <c r="K31" s="8">
        <v>46048</v>
      </c>
      <c r="L31">
        <v>75</v>
      </c>
      <c r="M31" s="9">
        <v>125</v>
      </c>
      <c r="N31" s="9">
        <v>9375</v>
      </c>
      <c r="O31" s="10">
        <v>62.9</v>
      </c>
      <c r="P31" s="11"/>
      <c r="Q31" s="9">
        <v>80.31</v>
      </c>
      <c r="R31" s="11"/>
      <c r="S31" s="10"/>
    </row>
    <row r="32" spans="1:19">
      <c r="A32" t="s">
        <v>98</v>
      </c>
      <c r="B32" t="s">
        <v>50</v>
      </c>
      <c r="C32" t="s">
        <v>34</v>
      </c>
      <c r="D32" t="s">
        <v>51</v>
      </c>
      <c r="E32" t="s">
        <v>69</v>
      </c>
      <c r="F32" t="s">
        <v>85</v>
      </c>
      <c r="G32" t="s">
        <v>38</v>
      </c>
      <c r="H32" t="s">
        <v>39</v>
      </c>
      <c r="I32" t="s">
        <v>67</v>
      </c>
      <c r="J32" s="8">
        <v>46182</v>
      </c>
      <c r="K32" s="8">
        <v>46221</v>
      </c>
      <c r="L32">
        <v>13.4</v>
      </c>
      <c r="M32" s="9">
        <v>160</v>
      </c>
      <c r="N32" s="9">
        <v>2144</v>
      </c>
      <c r="O32" s="10">
        <v>11.3</v>
      </c>
      <c r="P32" s="11"/>
      <c r="Q32" s="9">
        <v>73.42</v>
      </c>
      <c r="R32" s="11"/>
      <c r="S32" s="10"/>
    </row>
    <row r="33" spans="1:19" ht="15">
      <c r="A33" t="s">
        <v>99</v>
      </c>
      <c r="B33" t="s">
        <v>64</v>
      </c>
      <c r="C33" t="s">
        <v>34</v>
      </c>
      <c r="D33" t="s">
        <v>75</v>
      </c>
      <c r="E33" t="s">
        <v>69</v>
      </c>
      <c r="F33" t="s">
        <v>37</v>
      </c>
      <c r="G33" t="s">
        <v>38</v>
      </c>
      <c r="H33" t="s">
        <v>38</v>
      </c>
      <c r="I33" t="s">
        <v>48</v>
      </c>
      <c r="J33" s="8">
        <v>46186</v>
      </c>
      <c r="K33" s="8">
        <v>46213</v>
      </c>
      <c r="L33">
        <v>57.7</v>
      </c>
      <c r="M33" s="9">
        <v>95</v>
      </c>
      <c r="N33" s="9">
        <v>5481.5</v>
      </c>
      <c r="O33" s="10">
        <v>64</v>
      </c>
      <c r="P33" s="11"/>
      <c r="Q33" s="9">
        <v>48.46</v>
      </c>
      <c r="R33" s="11"/>
      <c r="S33" s="10"/>
    </row>
    <row r="34" spans="1:19" ht="15">
      <c r="A34" t="s">
        <v>100</v>
      </c>
      <c r="B34" t="s">
        <v>50</v>
      </c>
      <c r="C34" t="s">
        <v>83</v>
      </c>
      <c r="D34" t="s">
        <v>57</v>
      </c>
      <c r="E34" t="s">
        <v>52</v>
      </c>
      <c r="F34" t="s">
        <v>70</v>
      </c>
      <c r="G34" t="s">
        <v>47</v>
      </c>
      <c r="H34" t="s">
        <v>38</v>
      </c>
      <c r="I34" t="s">
        <v>67</v>
      </c>
      <c r="J34" s="8">
        <v>46071</v>
      </c>
      <c r="K34" s="8">
        <v>46114</v>
      </c>
      <c r="L34">
        <v>28.4</v>
      </c>
      <c r="M34" s="9">
        <v>160</v>
      </c>
      <c r="N34" s="9">
        <v>4544</v>
      </c>
      <c r="O34" s="10">
        <v>33.1</v>
      </c>
      <c r="P34" s="11"/>
      <c r="Q34" s="9">
        <v>81.72</v>
      </c>
      <c r="R34" s="11"/>
      <c r="S34" s="10"/>
    </row>
    <row r="35" spans="1:19" ht="15">
      <c r="A35" t="s">
        <v>101</v>
      </c>
      <c r="B35" t="s">
        <v>60</v>
      </c>
      <c r="C35" t="s">
        <v>83</v>
      </c>
      <c r="D35" t="s">
        <v>75</v>
      </c>
      <c r="E35" t="s">
        <v>69</v>
      </c>
      <c r="F35" t="s">
        <v>70</v>
      </c>
      <c r="G35" t="s">
        <v>47</v>
      </c>
      <c r="H35" t="s">
        <v>47</v>
      </c>
      <c r="I35" t="s">
        <v>72</v>
      </c>
      <c r="J35" s="8">
        <v>46157</v>
      </c>
      <c r="K35" s="8">
        <v>46194</v>
      </c>
      <c r="L35">
        <v>68.3</v>
      </c>
      <c r="M35" s="9">
        <v>175</v>
      </c>
      <c r="N35" s="9">
        <v>11952.5</v>
      </c>
      <c r="O35" s="10">
        <v>57</v>
      </c>
      <c r="P35" s="11"/>
      <c r="Q35" s="9">
        <v>81.72</v>
      </c>
      <c r="R35" s="11"/>
      <c r="S35" s="10"/>
    </row>
    <row r="36" spans="1:19">
      <c r="A36" t="s">
        <v>102</v>
      </c>
      <c r="B36" t="s">
        <v>50</v>
      </c>
      <c r="C36" t="s">
        <v>34</v>
      </c>
      <c r="D36" t="s">
        <v>44</v>
      </c>
      <c r="E36" t="s">
        <v>45</v>
      </c>
      <c r="F36" t="s">
        <v>70</v>
      </c>
      <c r="G36" t="s">
        <v>38</v>
      </c>
      <c r="H36" t="s">
        <v>38</v>
      </c>
      <c r="I36" t="s">
        <v>58</v>
      </c>
      <c r="J36" s="8">
        <v>46038</v>
      </c>
      <c r="K36" s="8">
        <v>46060</v>
      </c>
      <c r="L36">
        <v>83.7</v>
      </c>
      <c r="M36" s="9">
        <v>160</v>
      </c>
      <c r="N36" s="9">
        <v>13392</v>
      </c>
      <c r="O36" s="10">
        <v>98.3</v>
      </c>
      <c r="P36" s="11"/>
      <c r="Q36" s="9">
        <v>74.33</v>
      </c>
      <c r="R36" s="11"/>
      <c r="S36" s="10"/>
    </row>
    <row r="37" spans="1:19">
      <c r="A37" t="s">
        <v>103</v>
      </c>
      <c r="B37" t="s">
        <v>64</v>
      </c>
      <c r="C37" t="s">
        <v>43</v>
      </c>
      <c r="D37" t="s">
        <v>44</v>
      </c>
      <c r="E37" t="s">
        <v>45</v>
      </c>
      <c r="F37" t="s">
        <v>85</v>
      </c>
      <c r="G37" t="s">
        <v>47</v>
      </c>
      <c r="H37" t="s">
        <v>38</v>
      </c>
      <c r="I37" t="s">
        <v>58</v>
      </c>
      <c r="J37" s="8">
        <v>46054</v>
      </c>
      <c r="K37" s="8">
        <v>46088</v>
      </c>
      <c r="L37">
        <v>21.7</v>
      </c>
      <c r="M37" s="9">
        <v>175</v>
      </c>
      <c r="N37" s="9">
        <v>3797.5</v>
      </c>
      <c r="O37" s="10">
        <v>21.9</v>
      </c>
      <c r="P37" s="11"/>
      <c r="Q37" s="9">
        <v>80.510000000000005</v>
      </c>
      <c r="R37" s="11"/>
      <c r="S37" s="10"/>
    </row>
    <row r="38" spans="1:19">
      <c r="A38" t="s">
        <v>104</v>
      </c>
      <c r="B38" t="s">
        <v>60</v>
      </c>
      <c r="C38" t="s">
        <v>34</v>
      </c>
      <c r="D38" t="s">
        <v>78</v>
      </c>
      <c r="E38" t="s">
        <v>62</v>
      </c>
      <c r="F38" t="s">
        <v>85</v>
      </c>
      <c r="G38" t="s">
        <v>47</v>
      </c>
      <c r="H38" t="s">
        <v>76</v>
      </c>
      <c r="I38" t="s">
        <v>40</v>
      </c>
      <c r="J38" s="8">
        <v>46108</v>
      </c>
      <c r="K38" s="8">
        <v>46143</v>
      </c>
      <c r="L38">
        <v>53.6</v>
      </c>
      <c r="M38" s="9">
        <v>175</v>
      </c>
      <c r="N38" s="9">
        <v>9380</v>
      </c>
      <c r="O38" s="10">
        <v>64.099999999999994</v>
      </c>
      <c r="P38" s="11"/>
      <c r="Q38" s="9">
        <v>93.69</v>
      </c>
      <c r="R38" s="11"/>
      <c r="S38" s="10"/>
    </row>
    <row r="39" spans="1:19">
      <c r="A39" t="s">
        <v>105</v>
      </c>
      <c r="B39" t="s">
        <v>64</v>
      </c>
      <c r="C39" t="s">
        <v>56</v>
      </c>
      <c r="D39" t="s">
        <v>35</v>
      </c>
      <c r="E39" t="s">
        <v>52</v>
      </c>
      <c r="F39" t="s">
        <v>85</v>
      </c>
      <c r="G39" t="s">
        <v>38</v>
      </c>
      <c r="H39" t="s">
        <v>38</v>
      </c>
      <c r="I39" t="s">
        <v>48</v>
      </c>
      <c r="J39" s="8">
        <v>46160</v>
      </c>
      <c r="K39" s="8">
        <v>46198</v>
      </c>
      <c r="L39">
        <v>54.8</v>
      </c>
      <c r="M39" s="9">
        <v>125</v>
      </c>
      <c r="N39" s="9">
        <v>6850</v>
      </c>
      <c r="O39" s="10">
        <v>53.2</v>
      </c>
      <c r="P39" s="11"/>
      <c r="Q39" s="9">
        <v>74.09</v>
      </c>
      <c r="R39" s="11"/>
      <c r="S39" s="10"/>
    </row>
    <row r="40" spans="1:19">
      <c r="A40" t="s">
        <v>106</v>
      </c>
      <c r="B40" t="s">
        <v>60</v>
      </c>
      <c r="C40" t="s">
        <v>61</v>
      </c>
      <c r="D40" t="s">
        <v>57</v>
      </c>
      <c r="E40" t="s">
        <v>36</v>
      </c>
      <c r="F40" t="s">
        <v>46</v>
      </c>
      <c r="G40" t="s">
        <v>38</v>
      </c>
      <c r="H40" t="s">
        <v>38</v>
      </c>
      <c r="I40" t="s">
        <v>67</v>
      </c>
      <c r="J40" s="8">
        <v>46066</v>
      </c>
      <c r="K40" s="8">
        <v>46086</v>
      </c>
      <c r="L40">
        <v>9.1999999999999993</v>
      </c>
      <c r="M40" s="9">
        <v>140</v>
      </c>
      <c r="N40" s="9">
        <v>1288</v>
      </c>
      <c r="O40" s="10">
        <v>8.4</v>
      </c>
      <c r="P40" s="11"/>
      <c r="Q40" s="9">
        <v>76.05</v>
      </c>
      <c r="R40" s="11"/>
      <c r="S40" s="10"/>
    </row>
    <row r="41" spans="1:19">
      <c r="A41" t="s">
        <v>107</v>
      </c>
      <c r="B41" t="s">
        <v>33</v>
      </c>
      <c r="C41" t="s">
        <v>56</v>
      </c>
      <c r="D41" t="s">
        <v>78</v>
      </c>
      <c r="E41" t="s">
        <v>52</v>
      </c>
      <c r="F41" t="s">
        <v>46</v>
      </c>
      <c r="G41" t="s">
        <v>39</v>
      </c>
      <c r="H41" t="s">
        <v>38</v>
      </c>
      <c r="I41" t="s">
        <v>40</v>
      </c>
      <c r="J41" s="8">
        <v>46124</v>
      </c>
      <c r="K41" s="8">
        <v>46161</v>
      </c>
      <c r="L41">
        <v>4.5</v>
      </c>
      <c r="M41" s="9">
        <v>125</v>
      </c>
      <c r="N41" s="9">
        <v>562.5</v>
      </c>
      <c r="O41" s="10">
        <v>4</v>
      </c>
      <c r="P41" s="11"/>
      <c r="Q41" s="9">
        <v>66</v>
      </c>
      <c r="R41" s="11"/>
      <c r="S41" s="10"/>
    </row>
    <row r="42" spans="1:19">
      <c r="A42" t="s">
        <v>108</v>
      </c>
      <c r="B42" t="s">
        <v>64</v>
      </c>
      <c r="C42" t="s">
        <v>43</v>
      </c>
      <c r="D42" t="s">
        <v>35</v>
      </c>
      <c r="E42" t="s">
        <v>45</v>
      </c>
      <c r="F42" t="s">
        <v>46</v>
      </c>
      <c r="G42" t="s">
        <v>47</v>
      </c>
      <c r="H42" t="s">
        <v>39</v>
      </c>
      <c r="I42" t="s">
        <v>67</v>
      </c>
      <c r="J42" s="8">
        <v>46083</v>
      </c>
      <c r="K42" s="8">
        <v>46107</v>
      </c>
      <c r="L42">
        <v>39.299999999999997</v>
      </c>
      <c r="M42" s="9">
        <v>95</v>
      </c>
      <c r="N42" s="9">
        <v>3733.5</v>
      </c>
      <c r="O42" s="10">
        <v>37.1</v>
      </c>
      <c r="P42" s="11"/>
      <c r="Q42" s="9">
        <v>55.46</v>
      </c>
      <c r="R42" s="11"/>
      <c r="S42" s="10"/>
    </row>
    <row r="43" spans="1:19">
      <c r="A43" t="s">
        <v>109</v>
      </c>
      <c r="B43" t="s">
        <v>64</v>
      </c>
      <c r="C43" t="s">
        <v>56</v>
      </c>
      <c r="D43" t="s">
        <v>78</v>
      </c>
      <c r="E43" t="s">
        <v>62</v>
      </c>
      <c r="F43" t="s">
        <v>46</v>
      </c>
      <c r="G43" t="s">
        <v>47</v>
      </c>
      <c r="H43" t="s">
        <v>76</v>
      </c>
      <c r="I43" t="s">
        <v>40</v>
      </c>
      <c r="J43" s="8">
        <v>46171</v>
      </c>
      <c r="K43" s="8">
        <v>46179</v>
      </c>
      <c r="L43">
        <v>10.8</v>
      </c>
      <c r="M43" s="9">
        <v>140</v>
      </c>
      <c r="N43" s="9">
        <v>1512</v>
      </c>
      <c r="O43" s="10">
        <v>8.8000000000000007</v>
      </c>
      <c r="P43" s="11"/>
      <c r="Q43" s="9">
        <v>75.930000000000007</v>
      </c>
      <c r="R43" s="11"/>
      <c r="S43" s="10"/>
    </row>
    <row r="44" spans="1:19">
      <c r="A44" t="s">
        <v>110</v>
      </c>
      <c r="B44" t="s">
        <v>33</v>
      </c>
      <c r="C44" t="s">
        <v>61</v>
      </c>
      <c r="D44" t="s">
        <v>78</v>
      </c>
      <c r="E44" t="s">
        <v>36</v>
      </c>
      <c r="F44" t="s">
        <v>37</v>
      </c>
      <c r="G44" t="s">
        <v>47</v>
      </c>
      <c r="H44" t="s">
        <v>47</v>
      </c>
      <c r="I44" t="s">
        <v>67</v>
      </c>
      <c r="J44" s="8">
        <v>46098</v>
      </c>
      <c r="K44" s="8">
        <v>46131</v>
      </c>
      <c r="L44">
        <v>24.4</v>
      </c>
      <c r="M44" s="9">
        <v>95</v>
      </c>
      <c r="N44" s="9">
        <v>2318</v>
      </c>
      <c r="O44" s="10">
        <v>24</v>
      </c>
      <c r="P44" s="11"/>
      <c r="Q44" s="9">
        <v>56.98</v>
      </c>
      <c r="R44" s="11"/>
      <c r="S44" s="10"/>
    </row>
    <row r="45" spans="1:19">
      <c r="A45" t="s">
        <v>111</v>
      </c>
      <c r="B45" t="s">
        <v>33</v>
      </c>
      <c r="C45" t="s">
        <v>61</v>
      </c>
      <c r="D45" t="s">
        <v>44</v>
      </c>
      <c r="E45" t="s">
        <v>45</v>
      </c>
      <c r="F45" t="s">
        <v>53</v>
      </c>
      <c r="G45" t="s">
        <v>47</v>
      </c>
      <c r="H45" t="s">
        <v>39</v>
      </c>
      <c r="I45" t="s">
        <v>58</v>
      </c>
      <c r="J45" s="8">
        <v>46090</v>
      </c>
      <c r="K45" s="8">
        <v>46109</v>
      </c>
      <c r="L45">
        <v>72</v>
      </c>
      <c r="M45" s="9">
        <v>160</v>
      </c>
      <c r="N45" s="9">
        <v>11520</v>
      </c>
      <c r="O45" s="10">
        <v>59.5</v>
      </c>
      <c r="P45" s="11"/>
      <c r="Q45" s="9">
        <v>76.040000000000006</v>
      </c>
      <c r="R45" s="11"/>
      <c r="S45" s="10"/>
    </row>
    <row r="46" spans="1:19">
      <c r="A46" t="s">
        <v>112</v>
      </c>
      <c r="B46" t="s">
        <v>33</v>
      </c>
      <c r="C46" t="s">
        <v>43</v>
      </c>
      <c r="D46" t="s">
        <v>44</v>
      </c>
      <c r="E46" t="s">
        <v>52</v>
      </c>
      <c r="F46" t="s">
        <v>70</v>
      </c>
      <c r="G46" t="s">
        <v>47</v>
      </c>
      <c r="H46" t="s">
        <v>38</v>
      </c>
      <c r="I46" t="s">
        <v>40</v>
      </c>
      <c r="J46" s="8">
        <v>46056</v>
      </c>
      <c r="K46" s="8">
        <v>46073</v>
      </c>
      <c r="L46">
        <v>82.1</v>
      </c>
      <c r="M46" s="9">
        <v>95</v>
      </c>
      <c r="N46" s="9">
        <v>7799.5</v>
      </c>
      <c r="O46" s="10">
        <v>85.3</v>
      </c>
      <c r="P46" s="11"/>
      <c r="Q46" s="9">
        <v>60.4</v>
      </c>
      <c r="R46" s="11"/>
      <c r="S46" s="10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zoomScaleNormal="100" workbookViewId="0">
      <selection activeCell="B9" sqref="B9"/>
    </sheetView>
  </sheetViews>
  <sheetFormatPr defaultColWidth="8.5703125" defaultRowHeight="14.45"/>
  <cols>
    <col min="1" max="1" width="48.85546875" bestFit="1" customWidth="1"/>
    <col min="2" max="2" width="38.140625" bestFit="1" customWidth="1"/>
    <col min="3" max="3" width="60.42578125" bestFit="1" customWidth="1"/>
  </cols>
  <sheetData>
    <row r="1" spans="1:3" ht="15.6">
      <c r="A1" s="14" t="s">
        <v>113</v>
      </c>
    </row>
    <row r="2" spans="1:3">
      <c r="A2" s="3" t="s">
        <v>114</v>
      </c>
      <c r="B2" s="18"/>
      <c r="C2" s="15" t="s">
        <v>115</v>
      </c>
    </row>
    <row r="3" spans="1:3">
      <c r="A3" s="3" t="s">
        <v>116</v>
      </c>
      <c r="B3" s="18"/>
      <c r="C3" s="15" t="s">
        <v>117</v>
      </c>
    </row>
    <row r="4" spans="1:3">
      <c r="A4" s="3" t="s">
        <v>118</v>
      </c>
      <c r="B4" s="18"/>
      <c r="C4" s="15" t="s">
        <v>119</v>
      </c>
    </row>
    <row r="5" spans="1:3">
      <c r="A5" s="3" t="s">
        <v>120</v>
      </c>
      <c r="B5" s="18"/>
      <c r="C5" s="15" t="s">
        <v>121</v>
      </c>
    </row>
    <row r="7" spans="1:3" ht="15.6">
      <c r="A7" s="14" t="s">
        <v>122</v>
      </c>
    </row>
    <row r="8" spans="1:3">
      <c r="A8" s="16" t="s">
        <v>123</v>
      </c>
      <c r="B8" s="16" t="s">
        <v>124</v>
      </c>
      <c r="C8" s="16" t="s">
        <v>125</v>
      </c>
    </row>
    <row r="9" spans="1:3">
      <c r="A9" t="s">
        <v>126</v>
      </c>
      <c r="B9" s="17" t="e">
        <f>MATCH("Fraud Review",{"KYC Review","AML Investigation","SAR Filing"},0)</f>
        <v>#N/A</v>
      </c>
      <c r="C9" s="18"/>
    </row>
    <row r="10" spans="1:3">
      <c r="A10" t="s">
        <v>127</v>
      </c>
      <c r="B10" s="17" t="e">
        <f>"40 hours"+10</f>
        <v>#VALUE!</v>
      </c>
      <c r="C10" s="18"/>
    </row>
    <row r="13" spans="1:3" ht="60" customHeight="1"/>
    <row r="16" spans="1:3" ht="39.75" customHeight="1"/>
    <row r="18" ht="33.75" customHeight="1"/>
    <row r="19" ht="33.75" customHeight="1"/>
    <row r="20" ht="33.75" customHeight="1"/>
    <row r="21" ht="33.75" customHeight="1"/>
    <row r="22" ht="33.75" customHeight="1"/>
    <row r="23" ht="33.75" customHeight="1"/>
    <row r="24" ht="33.75" customHeight="1"/>
    <row r="25" ht="33.75" customHeight="1"/>
    <row r="26" ht="33.75" customHeight="1"/>
    <row r="27" ht="33.75" customHeight="1"/>
    <row r="28" ht="33.75" customHeight="1"/>
    <row r="31" ht="15" customHeight="1"/>
    <row r="32" ht="15" customHeight="1"/>
    <row r="33" ht="15" customHeight="1"/>
    <row r="34" ht="15" customHeight="1"/>
    <row r="35" ht="15" customHeight="1"/>
    <row r="40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2026-09-15T10:51:53Z</dcterms:created>
  <dcterms:modified xsi:type="dcterms:W3CDTF">2026-09-15T11:24:36Z</dcterms:modified>
  <cp:category/>
  <cp:contentStatus/>
</cp:coreProperties>
</file>