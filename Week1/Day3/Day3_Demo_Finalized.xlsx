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yanSerfozo\Downloads\"/>
    </mc:Choice>
  </mc:AlternateContent>
  <xr:revisionPtr revIDLastSave="0" documentId="13_ncr:1_{51637433-09B2-4168-94B3-270C475010F8}" xr6:coauthVersionLast="47" xr6:coauthVersionMax="47" xr10:uidLastSave="{00000000-0000-0000-0000-000000000000}"/>
  <bookViews>
    <workbookView xWindow="-28920" yWindow="-120" windowWidth="29040" windowHeight="15720" tabRatio="500" activeTab="2" xr2:uid="{00000000-000D-0000-FFFF-FFFF00000000}"/>
  </bookViews>
  <sheets>
    <sheet name="Raw Export" sheetId="1" r:id="rId1"/>
    <sheet name="Working" sheetId="3" r:id="rId2"/>
    <sheet name="Finalized Data" sheetId="4" r:id="rId3"/>
  </sheets>
  <definedNames>
    <definedName name="_xlnm._FilterDatabase" localSheetId="1" hidden="1">Working!$A$1:$Z$43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3" l="1"/>
  <c r="E10" i="3"/>
  <c r="E11" i="3"/>
  <c r="E15" i="3"/>
  <c r="E18" i="3"/>
  <c r="E19" i="3"/>
  <c r="E23" i="3"/>
  <c r="E25" i="3"/>
  <c r="E26" i="3"/>
  <c r="E27" i="3"/>
  <c r="E31" i="3"/>
  <c r="E33" i="3"/>
  <c r="E34" i="3"/>
  <c r="E35" i="3"/>
  <c r="E39" i="3"/>
  <c r="D7" i="3"/>
  <c r="E7" i="3" s="1"/>
  <c r="C17" i="3"/>
  <c r="D17" i="3" s="1"/>
  <c r="E17" i="3" s="1"/>
  <c r="C31" i="3"/>
  <c r="D31" i="3" s="1"/>
  <c r="C41" i="3"/>
  <c r="D41" i="3" s="1"/>
  <c r="E41" i="3" s="1"/>
  <c r="C2" i="3"/>
  <c r="D2" i="3" s="1"/>
  <c r="E2" i="3" s="1"/>
  <c r="B5" i="3"/>
  <c r="C5" i="3" s="1"/>
  <c r="D5" i="3" s="1"/>
  <c r="E5" i="3" s="1"/>
  <c r="B6" i="3"/>
  <c r="C6" i="3" s="1"/>
  <c r="D6" i="3" s="1"/>
  <c r="E6" i="3" s="1"/>
  <c r="B7" i="3"/>
  <c r="C7" i="3" s="1"/>
  <c r="B8" i="3"/>
  <c r="C8" i="3" s="1"/>
  <c r="D8" i="3" s="1"/>
  <c r="E8" i="3" s="1"/>
  <c r="B9" i="3"/>
  <c r="C9" i="3" s="1"/>
  <c r="D9" i="3" s="1"/>
  <c r="B10" i="3"/>
  <c r="C10" i="3" s="1"/>
  <c r="D10" i="3" s="1"/>
  <c r="B11" i="3"/>
  <c r="C11" i="3" s="1"/>
  <c r="D11" i="3" s="1"/>
  <c r="B12" i="3"/>
  <c r="C12" i="3" s="1"/>
  <c r="D12" i="3" s="1"/>
  <c r="E12" i="3" s="1"/>
  <c r="B13" i="3"/>
  <c r="C13" i="3" s="1"/>
  <c r="D13" i="3" s="1"/>
  <c r="E13" i="3" s="1"/>
  <c r="B14" i="3"/>
  <c r="C14" i="3" s="1"/>
  <c r="D14" i="3" s="1"/>
  <c r="E14" i="3" s="1"/>
  <c r="B15" i="3"/>
  <c r="C15" i="3" s="1"/>
  <c r="D15" i="3" s="1"/>
  <c r="B16" i="3"/>
  <c r="C16" i="3" s="1"/>
  <c r="D16" i="3" s="1"/>
  <c r="E16" i="3" s="1"/>
  <c r="B17" i="3"/>
  <c r="B18" i="3"/>
  <c r="C18" i="3" s="1"/>
  <c r="D18" i="3" s="1"/>
  <c r="B19" i="3"/>
  <c r="C19" i="3" s="1"/>
  <c r="D19" i="3" s="1"/>
  <c r="B20" i="3"/>
  <c r="C20" i="3" s="1"/>
  <c r="D20" i="3" s="1"/>
  <c r="E20" i="3" s="1"/>
  <c r="B21" i="3"/>
  <c r="C21" i="3" s="1"/>
  <c r="D21" i="3" s="1"/>
  <c r="E21" i="3" s="1"/>
  <c r="B22" i="3"/>
  <c r="C22" i="3" s="1"/>
  <c r="D22" i="3" s="1"/>
  <c r="E22" i="3" s="1"/>
  <c r="B23" i="3"/>
  <c r="C23" i="3" s="1"/>
  <c r="D23" i="3" s="1"/>
  <c r="B24" i="3"/>
  <c r="C24" i="3" s="1"/>
  <c r="D24" i="3" s="1"/>
  <c r="E24" i="3" s="1"/>
  <c r="B25" i="3"/>
  <c r="C25" i="3" s="1"/>
  <c r="D25" i="3" s="1"/>
  <c r="B26" i="3"/>
  <c r="C26" i="3" s="1"/>
  <c r="D26" i="3" s="1"/>
  <c r="B27" i="3"/>
  <c r="C27" i="3" s="1"/>
  <c r="D27" i="3" s="1"/>
  <c r="B28" i="3"/>
  <c r="C28" i="3" s="1"/>
  <c r="D28" i="3" s="1"/>
  <c r="E28" i="3" s="1"/>
  <c r="B29" i="3"/>
  <c r="C29" i="3" s="1"/>
  <c r="D29" i="3" s="1"/>
  <c r="E29" i="3" s="1"/>
  <c r="B30" i="3"/>
  <c r="C30" i="3" s="1"/>
  <c r="D30" i="3" s="1"/>
  <c r="E30" i="3" s="1"/>
  <c r="B31" i="3"/>
  <c r="B32" i="3"/>
  <c r="C32" i="3" s="1"/>
  <c r="D32" i="3" s="1"/>
  <c r="E32" i="3" s="1"/>
  <c r="B33" i="3"/>
  <c r="C33" i="3" s="1"/>
  <c r="D33" i="3" s="1"/>
  <c r="B34" i="3"/>
  <c r="C34" i="3" s="1"/>
  <c r="D34" i="3" s="1"/>
  <c r="B35" i="3"/>
  <c r="C35" i="3" s="1"/>
  <c r="D35" i="3" s="1"/>
  <c r="B36" i="3"/>
  <c r="C36" i="3" s="1"/>
  <c r="D36" i="3" s="1"/>
  <c r="E36" i="3" s="1"/>
  <c r="B37" i="3"/>
  <c r="C37" i="3" s="1"/>
  <c r="D37" i="3" s="1"/>
  <c r="E37" i="3" s="1"/>
  <c r="B38" i="3"/>
  <c r="C38" i="3" s="1"/>
  <c r="D38" i="3" s="1"/>
  <c r="E38" i="3" s="1"/>
  <c r="B39" i="3"/>
  <c r="C39" i="3" s="1"/>
  <c r="D39" i="3" s="1"/>
  <c r="B40" i="3"/>
  <c r="C40" i="3" s="1"/>
  <c r="D40" i="3" s="1"/>
  <c r="E40" i="3" s="1"/>
  <c r="B41" i="3"/>
  <c r="B2" i="3"/>
  <c r="B3" i="3"/>
  <c r="C3" i="3" s="1"/>
  <c r="D3" i="3" s="1"/>
  <c r="E3" i="3" s="1"/>
  <c r="B4" i="3"/>
  <c r="C4" i="3" s="1"/>
  <c r="D4" i="3" s="1"/>
  <c r="E4" i="3" s="1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2" i="3"/>
  <c r="M3" i="3"/>
  <c r="M4" i="3"/>
  <c r="M5" i="3"/>
  <c r="M6" i="3"/>
  <c r="M7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2" i="3"/>
  <c r="H2" i="3"/>
  <c r="I2" i="3" s="1"/>
  <c r="J2" i="3" s="1"/>
  <c r="H3" i="3"/>
  <c r="I3" i="3" s="1"/>
  <c r="J3" i="3" s="1"/>
  <c r="H4" i="3"/>
  <c r="I4" i="3" s="1"/>
  <c r="J4" i="3" s="1"/>
  <c r="H5" i="3"/>
  <c r="I5" i="3" s="1"/>
  <c r="J5" i="3" s="1"/>
  <c r="H6" i="3"/>
  <c r="I6" i="3" s="1"/>
  <c r="J6" i="3" s="1"/>
  <c r="H7" i="3"/>
  <c r="I7" i="3" s="1"/>
  <c r="J7" i="3" s="1"/>
  <c r="H8" i="3"/>
  <c r="I8" i="3" s="1"/>
  <c r="J8" i="3" s="1"/>
  <c r="H9" i="3"/>
  <c r="I9" i="3" s="1"/>
  <c r="J9" i="3" s="1"/>
  <c r="H10" i="3"/>
  <c r="I10" i="3" s="1"/>
  <c r="J10" i="3" s="1"/>
  <c r="H11" i="3"/>
  <c r="I11" i="3" s="1"/>
  <c r="J11" i="3" s="1"/>
  <c r="H12" i="3"/>
  <c r="I12" i="3" s="1"/>
  <c r="J12" i="3" s="1"/>
  <c r="H13" i="3"/>
  <c r="I13" i="3" s="1"/>
  <c r="J13" i="3" s="1"/>
  <c r="H14" i="3"/>
  <c r="I14" i="3" s="1"/>
  <c r="J14" i="3" s="1"/>
  <c r="H15" i="3"/>
  <c r="I15" i="3" s="1"/>
  <c r="J15" i="3" s="1"/>
  <c r="H16" i="3"/>
  <c r="I16" i="3" s="1"/>
  <c r="J16" i="3" s="1"/>
  <c r="H17" i="3"/>
  <c r="I17" i="3" s="1"/>
  <c r="J17" i="3" s="1"/>
  <c r="H18" i="3"/>
  <c r="I18" i="3" s="1"/>
  <c r="J18" i="3" s="1"/>
  <c r="H19" i="3"/>
  <c r="I19" i="3" s="1"/>
  <c r="J19" i="3" s="1"/>
  <c r="H20" i="3"/>
  <c r="I20" i="3" s="1"/>
  <c r="J20" i="3" s="1"/>
  <c r="H21" i="3"/>
  <c r="I21" i="3" s="1"/>
  <c r="J21" i="3" s="1"/>
  <c r="H22" i="3"/>
  <c r="I22" i="3" s="1"/>
  <c r="J22" i="3" s="1"/>
  <c r="H23" i="3"/>
  <c r="I23" i="3" s="1"/>
  <c r="J23" i="3" s="1"/>
  <c r="H24" i="3"/>
  <c r="I24" i="3" s="1"/>
  <c r="J24" i="3" s="1"/>
  <c r="H25" i="3"/>
  <c r="I25" i="3" s="1"/>
  <c r="J25" i="3" s="1"/>
  <c r="H26" i="3"/>
  <c r="I26" i="3" s="1"/>
  <c r="J26" i="3" s="1"/>
  <c r="H27" i="3"/>
  <c r="I27" i="3" s="1"/>
  <c r="J27" i="3" s="1"/>
  <c r="H28" i="3"/>
  <c r="I28" i="3" s="1"/>
  <c r="J28" i="3" s="1"/>
  <c r="H29" i="3"/>
  <c r="I29" i="3" s="1"/>
  <c r="J29" i="3" s="1"/>
  <c r="H30" i="3"/>
  <c r="I30" i="3" s="1"/>
  <c r="J30" i="3" s="1"/>
  <c r="H31" i="3"/>
  <c r="I31" i="3" s="1"/>
  <c r="J31" i="3" s="1"/>
  <c r="H32" i="3"/>
  <c r="I32" i="3" s="1"/>
  <c r="J32" i="3" s="1"/>
  <c r="H33" i="3"/>
  <c r="I33" i="3" s="1"/>
  <c r="J33" i="3" s="1"/>
  <c r="H34" i="3"/>
  <c r="I34" i="3" s="1"/>
  <c r="J34" i="3" s="1"/>
  <c r="H35" i="3"/>
  <c r="I35" i="3" s="1"/>
  <c r="J35" i="3" s="1"/>
  <c r="H36" i="3"/>
  <c r="I36" i="3" s="1"/>
  <c r="J36" i="3" s="1"/>
  <c r="H37" i="3"/>
  <c r="I37" i="3" s="1"/>
  <c r="J37" i="3" s="1"/>
  <c r="H38" i="3"/>
  <c r="I38" i="3" s="1"/>
  <c r="J38" i="3" s="1"/>
  <c r="H39" i="3"/>
  <c r="I39" i="3" s="1"/>
  <c r="J39" i="3" s="1"/>
  <c r="H40" i="3"/>
  <c r="I40" i="3" s="1"/>
  <c r="J40" i="3" s="1"/>
  <c r="H41" i="3"/>
  <c r="I41" i="3" s="1"/>
  <c r="J41" i="3" s="1"/>
</calcChain>
</file>

<file path=xl/sharedStrings.xml><?xml version="1.0" encoding="utf-8"?>
<sst xmlns="http://schemas.openxmlformats.org/spreadsheetml/2006/main" count="1184" uniqueCount="330">
  <si>
    <t>Engagement ID</t>
  </si>
  <si>
    <t>Client Name</t>
  </si>
  <si>
    <t>Engagement Type</t>
  </si>
  <si>
    <t>Analyst Full Name</t>
  </si>
  <si>
    <t>Status</t>
  </si>
  <si>
    <t>Location (City, ST)</t>
  </si>
  <si>
    <t>City</t>
  </si>
  <si>
    <t>State</t>
  </si>
  <si>
    <t>Amount Billed</t>
  </si>
  <si>
    <t>Start Date</t>
  </si>
  <si>
    <t>Due Date</t>
  </si>
  <si>
    <t>ENG_4007</t>
  </si>
  <si>
    <t xml:space="preserve">  Cobalt Trust &amp; Savings  
</t>
  </si>
  <si>
    <t xml:space="preserve">  Sanctions Screening</t>
  </si>
  <si>
    <t xml:space="preserve">  Maya Chen  </t>
  </si>
  <si>
    <t xml:space="preserve">  Completed  </t>
  </si>
  <si>
    <t>Tampa, FL</t>
  </si>
  <si>
    <t xml:space="preserve"> $25,795.63 </t>
  </si>
  <si>
    <t>06-Apr-2026</t>
  </si>
  <si>
    <t>04/18/2026</t>
  </si>
  <si>
    <t>ENG_4019</t>
  </si>
  <si>
    <t>Harborview National Bank</t>
  </si>
  <si>
    <t xml:space="preserve">aml investigation   </t>
  </si>
  <si>
    <t>Sade Okafor</t>
  </si>
  <si>
    <t xml:space="preserve">not started   </t>
  </si>
  <si>
    <t>13216.13</t>
  </si>
  <si>
    <t>03/14/2026</t>
  </si>
  <si>
    <t xml:space="preserve"> eng_4022</t>
  </si>
  <si>
    <t xml:space="preserve">Cobalt Trust &amp; Savings   </t>
  </si>
  <si>
    <t xml:space="preserve">TRANSACTION MONITORING   </t>
  </si>
  <si>
    <t>Maya Chen</t>
  </si>
  <si>
    <t xml:space="preserve">  completed  </t>
  </si>
  <si>
    <t>Columbus, OH</t>
  </si>
  <si>
    <t>$12,257.62</t>
  </si>
  <si>
    <t>2026-04-11</t>
  </si>
  <si>
    <t>eng-4010</t>
  </si>
  <si>
    <t>riverbend  financial group</t>
  </si>
  <si>
    <t xml:space="preserve">  KYC Review</t>
  </si>
  <si>
    <t xml:space="preserve">Trevor Nguyen   </t>
  </si>
  <si>
    <t>In  Progress</t>
  </si>
  <si>
    <t>Dallas, TX</t>
  </si>
  <si>
    <t xml:space="preserve"> $26,647.14 </t>
  </si>
  <si>
    <t>21-Apr-2026</t>
  </si>
  <si>
    <t xml:space="preserve"> ENG-4011 </t>
  </si>
  <si>
    <t xml:space="preserve">  Riverbend Financial Group  </t>
  </si>
  <si>
    <t>sar  filing</t>
  </si>
  <si>
    <t>completed</t>
  </si>
  <si>
    <t>Phoenix, AZ</t>
  </si>
  <si>
    <t xml:space="preserve"> $9,764.09 </t>
  </si>
  <si>
    <t>02/20/2026</t>
  </si>
  <si>
    <t xml:space="preserve"> ENG-4006 </t>
  </si>
  <si>
    <t xml:space="preserve">  RIVERBEND FINANCIAL GROUP  </t>
  </si>
  <si>
    <t xml:space="preserve">  Kyc Review</t>
  </si>
  <si>
    <t>Kayla  Brooks</t>
  </si>
  <si>
    <t xml:space="preserve">  UNDER REVIEW  </t>
  </si>
  <si>
    <t>$9,041.78</t>
  </si>
  <si>
    <t>03/23/2026</t>
  </si>
  <si>
    <t>2026-04-30</t>
  </si>
  <si>
    <t>ENG-4037</t>
  </si>
  <si>
    <t>Harborview  National Bank</t>
  </si>
  <si>
    <t xml:space="preserve">kyc review   </t>
  </si>
  <si>
    <t xml:space="preserve">  Kayla Brooks  </t>
  </si>
  <si>
    <t>COMPLETED</t>
  </si>
  <si>
    <t>Denver, CO</t>
  </si>
  <si>
    <t>20568.67</t>
  </si>
  <si>
    <t>02/08/2026</t>
  </si>
  <si>
    <t>19-Mar-2026</t>
  </si>
  <si>
    <t>ENG-4038</t>
  </si>
  <si>
    <t xml:space="preserve">harborview national bank   </t>
  </si>
  <si>
    <t>Transaction  Monitoring</t>
  </si>
  <si>
    <t xml:space="preserve">  Raj Patel  </t>
  </si>
  <si>
    <t xml:space="preserve">  UNDER REVIEW</t>
  </si>
  <si>
    <t>21084.36</t>
  </si>
  <si>
    <t>05/14/2026</t>
  </si>
  <si>
    <t>ENG_4012</t>
  </si>
  <si>
    <t xml:space="preserve">  Meridian Community Bank</t>
  </si>
  <si>
    <t xml:space="preserve">  sanctions screening</t>
  </si>
  <si>
    <t xml:space="preserve">  under review</t>
  </si>
  <si>
    <t>Portland, OR</t>
  </si>
  <si>
    <t>2026-03-19</t>
  </si>
  <si>
    <t>eng-4018</t>
  </si>
  <si>
    <t>Not  Started</t>
  </si>
  <si>
    <t>14954.42</t>
  </si>
  <si>
    <t>2026-04-14</t>
  </si>
  <si>
    <t>04/24/2026</t>
  </si>
  <si>
    <t>ENG_4017</t>
  </si>
  <si>
    <t>Riverbend  Financial Group</t>
  </si>
  <si>
    <t>SAR  FILING</t>
  </si>
  <si>
    <t>On  Hold</t>
  </si>
  <si>
    <t>Chicago, IL</t>
  </si>
  <si>
    <t>ENG-4014</t>
  </si>
  <si>
    <t xml:space="preserve">  riverbend financial group  </t>
  </si>
  <si>
    <t xml:space="preserve">  sar filing  </t>
  </si>
  <si>
    <t xml:space="preserve">Kayla Brooks   </t>
  </si>
  <si>
    <t>17-Feb-2026</t>
  </si>
  <si>
    <t xml:space="preserve"> eng_4033</t>
  </si>
  <si>
    <t xml:space="preserve">  Transaction Monitoring</t>
  </si>
  <si>
    <t xml:space="preserve">  Jordan Alvarez</t>
  </si>
  <si>
    <t>$9,174.11</t>
  </si>
  <si>
    <t>02/11/2026</t>
  </si>
  <si>
    <t>ENG-4040</t>
  </si>
  <si>
    <t xml:space="preserve">  KYC REVIEW  </t>
  </si>
  <si>
    <t xml:space="preserve">  Completed</t>
  </si>
  <si>
    <t>12467.91</t>
  </si>
  <si>
    <t>2026-04-26</t>
  </si>
  <si>
    <t xml:space="preserve"> ENG-4036 </t>
  </si>
  <si>
    <t>HARBORVIEW NATIONAL BANK</t>
  </si>
  <si>
    <t xml:space="preserve">  Compliance Audit</t>
  </si>
  <si>
    <t xml:space="preserve">  Under Review  </t>
  </si>
  <si>
    <t xml:space="preserve"> $21,524.89 </t>
  </si>
  <si>
    <t>05/22/2026</t>
  </si>
  <si>
    <t>2026-06-02</t>
  </si>
  <si>
    <t>ENG-4030</t>
  </si>
  <si>
    <t>COBALT TRUST &amp; SAVINGS</t>
  </si>
  <si>
    <t xml:space="preserve">  kyc review  </t>
  </si>
  <si>
    <t xml:space="preserve">Jordan Alvarez   </t>
  </si>
  <si>
    <t xml:space="preserve">  NOT STARTED  </t>
  </si>
  <si>
    <t>Atlanta, GA</t>
  </si>
  <si>
    <t>$18,383.68</t>
  </si>
  <si>
    <t>ENG-4023</t>
  </si>
  <si>
    <t xml:space="preserve">RIVERBEND FINANCIAL GROUP   </t>
  </si>
  <si>
    <t xml:space="preserve">Transaction Monitoring   </t>
  </si>
  <si>
    <t>Jordan  Alvarez</t>
  </si>
  <si>
    <t>on hold</t>
  </si>
  <si>
    <t>3265.50</t>
  </si>
  <si>
    <t>06/05/2026</t>
  </si>
  <si>
    <t>ENG_4034</t>
  </si>
  <si>
    <t xml:space="preserve">  Meridian Community Bank  </t>
  </si>
  <si>
    <t>AML Investigation</t>
  </si>
  <si>
    <t xml:space="preserve">  Trevor Nguyen</t>
  </si>
  <si>
    <t xml:space="preserve">  ON HOLD  </t>
  </si>
  <si>
    <t>03-May-2026</t>
  </si>
  <si>
    <t>2026-05-24</t>
  </si>
  <si>
    <t xml:space="preserve"> eng_4021</t>
  </si>
  <si>
    <t>TRANSACTION MONITORING</t>
  </si>
  <si>
    <t xml:space="preserve"> $20,133.51 </t>
  </si>
  <si>
    <t>2026-03-23</t>
  </si>
  <si>
    <t xml:space="preserve"> eng_4005</t>
  </si>
  <si>
    <t>Completed</t>
  </si>
  <si>
    <t>2026-04-28</t>
  </si>
  <si>
    <t>10-May-2026</t>
  </si>
  <si>
    <t>ENG_4024</t>
  </si>
  <si>
    <t xml:space="preserve">Maya Chen   </t>
  </si>
  <si>
    <t xml:space="preserve">IN PROGRESS   </t>
  </si>
  <si>
    <t>$18,159.78</t>
  </si>
  <si>
    <t xml:space="preserve"> eng_4004</t>
  </si>
  <si>
    <t>$20,023.35</t>
  </si>
  <si>
    <t>17-Mar-2026</t>
  </si>
  <si>
    <t xml:space="preserve"> eng_4008</t>
  </si>
  <si>
    <t xml:space="preserve">cobalt trust &amp; savings   </t>
  </si>
  <si>
    <t>Kyc Review</t>
  </si>
  <si>
    <t xml:space="preserve">  Maya Chen</t>
  </si>
  <si>
    <t xml:space="preserve"> $18,950.69 </t>
  </si>
  <si>
    <t>2026-02-03</t>
  </si>
  <si>
    <t>02/28/2026</t>
  </si>
  <si>
    <t xml:space="preserve"> ENG-4003 </t>
  </si>
  <si>
    <t>MERIDIAN  COMMUNITY BANK</t>
  </si>
  <si>
    <t>COMPLIANCE  AUDIT</t>
  </si>
  <si>
    <t>Kayla Brooks</t>
  </si>
  <si>
    <t xml:space="preserve">  in progress  </t>
  </si>
  <si>
    <t>2026-04-24</t>
  </si>
  <si>
    <t>ENG_4015</t>
  </si>
  <si>
    <t>aml  investigation</t>
  </si>
  <si>
    <t>Maya  Chen</t>
  </si>
  <si>
    <t>not started</t>
  </si>
  <si>
    <t>$17,156.53</t>
  </si>
  <si>
    <t>05/07/2026</t>
  </si>
  <si>
    <t xml:space="preserve"> ENG-4027 </t>
  </si>
  <si>
    <t xml:space="preserve">  Harborview National Bank</t>
  </si>
  <si>
    <t xml:space="preserve">AML INVESTIGATION   </t>
  </si>
  <si>
    <t xml:space="preserve">  Under Review</t>
  </si>
  <si>
    <t>$1,596.00</t>
  </si>
  <si>
    <t>2026-03-20</t>
  </si>
  <si>
    <t>29-Apr-2026</t>
  </si>
  <si>
    <t xml:space="preserve"> ENG-4013 </t>
  </si>
  <si>
    <t>Riverbend Financial Group</t>
  </si>
  <si>
    <t>transaction monitoring</t>
  </si>
  <si>
    <t xml:space="preserve">  Sade Okafor</t>
  </si>
  <si>
    <t xml:space="preserve"> $19,851.83 </t>
  </si>
  <si>
    <t>03/18/2026</t>
  </si>
  <si>
    <t>11-Apr-2026</t>
  </si>
  <si>
    <t xml:space="preserve"> ENG-4035 </t>
  </si>
  <si>
    <t xml:space="preserve">  Cobalt Trust &amp; Savings  </t>
  </si>
  <si>
    <t xml:space="preserve">  SAR FILING</t>
  </si>
  <si>
    <t>Raj Patel</t>
  </si>
  <si>
    <t xml:space="preserve">Completed   </t>
  </si>
  <si>
    <t xml:space="preserve"> $4,704.10 </t>
  </si>
  <si>
    <t>26-Mar-2026</t>
  </si>
  <si>
    <t xml:space="preserve"> eng_4001</t>
  </si>
  <si>
    <t>aml investigation</t>
  </si>
  <si>
    <t xml:space="preserve">  Not Started  </t>
  </si>
  <si>
    <t>$23,263.77</t>
  </si>
  <si>
    <t>02/14/2026</t>
  </si>
  <si>
    <t xml:space="preserve"> ENG-4032 </t>
  </si>
  <si>
    <t xml:space="preserve">  MERIDIAN COMMUNITY BANK</t>
  </si>
  <si>
    <t>09-Feb-2026</t>
  </si>
  <si>
    <t>ENG-4031</t>
  </si>
  <si>
    <t xml:space="preserve">  Harborview National Bank  </t>
  </si>
  <si>
    <t xml:space="preserve">  TRANSACTION MONITORING  </t>
  </si>
  <si>
    <t>UNDER  REVIEW</t>
  </si>
  <si>
    <t>20827.38</t>
  </si>
  <si>
    <t>03/17/2026</t>
  </si>
  <si>
    <t>ENG_4039</t>
  </si>
  <si>
    <t xml:space="preserve">  harborview national bank</t>
  </si>
  <si>
    <t xml:space="preserve">  COMPLIANCE AUDIT</t>
  </si>
  <si>
    <t xml:space="preserve">COMPLETED   </t>
  </si>
  <si>
    <t>27906.59</t>
  </si>
  <si>
    <t>2026-03-31</t>
  </si>
  <si>
    <t>2026-04-23</t>
  </si>
  <si>
    <t>ENG-4009</t>
  </si>
  <si>
    <t>sar filing</t>
  </si>
  <si>
    <t xml:space="preserve">  Kayla Brooks</t>
  </si>
  <si>
    <t xml:space="preserve">  On Hold</t>
  </si>
  <si>
    <t>$12,048.85</t>
  </si>
  <si>
    <t>2026-03-24</t>
  </si>
  <si>
    <t>eng-4002</t>
  </si>
  <si>
    <t>kyc review</t>
  </si>
  <si>
    <t>Trevor  Nguyen</t>
  </si>
  <si>
    <t>04/17/2026</t>
  </si>
  <si>
    <t>ENG_4020</t>
  </si>
  <si>
    <t xml:space="preserve">  harborview national bank  </t>
  </si>
  <si>
    <t xml:space="preserve">AML Investigation   </t>
  </si>
  <si>
    <t xml:space="preserve"> $24,950.72 </t>
  </si>
  <si>
    <t>2026-03-25</t>
  </si>
  <si>
    <t>eng-4028</t>
  </si>
  <si>
    <t>Raj  Patel</t>
  </si>
  <si>
    <t>$8,076.75</t>
  </si>
  <si>
    <t>2026-05-12</t>
  </si>
  <si>
    <t>2026-05-22</t>
  </si>
  <si>
    <t xml:space="preserve"> eng_4029</t>
  </si>
  <si>
    <t>05/04/2026</t>
  </si>
  <si>
    <t xml:space="preserve"> ENG-4026 </t>
  </si>
  <si>
    <t xml:space="preserve">  Jordan Alvarez  </t>
  </si>
  <si>
    <t>3374.15</t>
  </si>
  <si>
    <t>2026-05-07</t>
  </si>
  <si>
    <t>ENG-4025</t>
  </si>
  <si>
    <t>Cobalt  Trust &amp; Savings</t>
  </si>
  <si>
    <t>Compliance  Audit</t>
  </si>
  <si>
    <t xml:space="preserve">Sade Okafor   </t>
  </si>
  <si>
    <t xml:space="preserve">  in progress</t>
  </si>
  <si>
    <t xml:space="preserve"> $4,316.46 </t>
  </si>
  <si>
    <t>05/17/2026</t>
  </si>
  <si>
    <t>06/16/2026</t>
  </si>
  <si>
    <t xml:space="preserve"> eng_4016</t>
  </si>
  <si>
    <t xml:space="preserve">Harborview National Bank   </t>
  </si>
  <si>
    <t xml:space="preserve">  AML Investigation</t>
  </si>
  <si>
    <t>04/07/2026</t>
  </si>
  <si>
    <t>Helper 1 (TRIM) (Helps with Spaces)</t>
  </si>
  <si>
    <t>Helper 2 (PROPER) (Converts text to titlecase)</t>
  </si>
  <si>
    <t>Helper 3 (CLEAN) (Removes extra spaces)</t>
  </si>
  <si>
    <t>Cleaned Client Name</t>
  </si>
  <si>
    <t xml:space="preserve">Cobalt Trust &amp; Savings </t>
  </si>
  <si>
    <t>Cobalt Trust &amp; Savings</t>
  </si>
  <si>
    <t>Meridian Community Bank</t>
  </si>
  <si>
    <t>Cleaned Analyst Name</t>
  </si>
  <si>
    <t>Final Analyst Name</t>
  </si>
  <si>
    <t>Trevor Nguyen</t>
  </si>
  <si>
    <t/>
  </si>
  <si>
    <t>Jordan Alvarez</t>
  </si>
  <si>
    <t>Working Status</t>
  </si>
  <si>
    <t>Finalized Status</t>
  </si>
  <si>
    <t>Not Started</t>
  </si>
  <si>
    <t>In Progress</t>
  </si>
  <si>
    <t>Under Review</t>
  </si>
  <si>
    <t>On Hold</t>
  </si>
  <si>
    <t>Helper Engagement</t>
  </si>
  <si>
    <t>Sanctions Screening</t>
  </si>
  <si>
    <t>Transaction Monitoring</t>
  </si>
  <si>
    <t>Compliance Audit</t>
  </si>
  <si>
    <t>Finalized Engagement</t>
  </si>
  <si>
    <t xml:space="preserve">AML investigation   </t>
  </si>
  <si>
    <t>AML  investigation</t>
  </si>
  <si>
    <t>AML investigation</t>
  </si>
  <si>
    <t>SAR Filing</t>
  </si>
  <si>
    <t>KYC Review</t>
  </si>
  <si>
    <t>Tampa</t>
  </si>
  <si>
    <t>Columbus</t>
  </si>
  <si>
    <t>Dallas</t>
  </si>
  <si>
    <t>Phoenix</t>
  </si>
  <si>
    <t>Denver</t>
  </si>
  <si>
    <t>Portland</t>
  </si>
  <si>
    <t>Chicago</t>
  </si>
  <si>
    <t>Atlanta</t>
  </si>
  <si>
    <t>FL</t>
  </si>
  <si>
    <t>OH</t>
  </si>
  <si>
    <t>TX</t>
  </si>
  <si>
    <t>AZ</t>
  </si>
  <si>
    <t>CO</t>
  </si>
  <si>
    <t>OR</t>
  </si>
  <si>
    <t>IL</t>
  </si>
  <si>
    <t>GA</t>
  </si>
  <si>
    <t>Id Helper 1</t>
  </si>
  <si>
    <t>Id Helper 2 (Upper)</t>
  </si>
  <si>
    <t>Id Helper 3 (SUBSTITUTE)</t>
  </si>
  <si>
    <t>Id Length Checker</t>
  </si>
  <si>
    <t>Final Engagement Id</t>
  </si>
  <si>
    <t>ENG-4007</t>
  </si>
  <si>
    <t>ENG-4019</t>
  </si>
  <si>
    <t>ENG-4022</t>
  </si>
  <si>
    <t>ENG-4010</t>
  </si>
  <si>
    <t>ENG-4011</t>
  </si>
  <si>
    <t>ENG-4006</t>
  </si>
  <si>
    <t>ENG-4012</t>
  </si>
  <si>
    <t>ENG-4018</t>
  </si>
  <si>
    <t>ENG-4017</t>
  </si>
  <si>
    <t>ENG-4033</t>
  </si>
  <si>
    <t>ENG-4036</t>
  </si>
  <si>
    <t>ENG-4034</t>
  </si>
  <si>
    <t>ENG-4021</t>
  </si>
  <si>
    <t>ENG-4005</t>
  </si>
  <si>
    <t>ENG-4024</t>
  </si>
  <si>
    <t>ENG-4004</t>
  </si>
  <si>
    <t>ENG-4008</t>
  </si>
  <si>
    <t>ENG-4003</t>
  </si>
  <si>
    <t>ENG-4015</t>
  </si>
  <si>
    <t>ENG-4027</t>
  </si>
  <si>
    <t>ENG-4013</t>
  </si>
  <si>
    <t>ENG-4035</t>
  </si>
  <si>
    <t>ENG-4001</t>
  </si>
  <si>
    <t>ENG-4032</t>
  </si>
  <si>
    <t>ENG-4039</t>
  </si>
  <si>
    <t>ENG-4002</t>
  </si>
  <si>
    <t>ENG-4020</t>
  </si>
  <si>
    <t>ENG-4028</t>
  </si>
  <si>
    <t>ENG-4029</t>
  </si>
  <si>
    <t>ENG-4026</t>
  </si>
  <si>
    <t>ENG-4016</t>
  </si>
  <si>
    <t>Engagement Id</t>
  </si>
  <si>
    <t>Engagement</t>
  </si>
  <si>
    <t>Analyst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</si>
</sst>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49" fontId="0" fillId="0" borderId="0" xfId="0" applyNumberFormat="1"/>
    <xf numFmtId="14" fontId="1" fillId="2" borderId="0" xfId="0" applyNumberFormat="1" applyFont="1" applyFill="1" applyAlignment="1">
      <alignment horizontal="center" wrapText="1"/>
    </xf>
    <xf numFmtId="14" fontId="0" fillId="0" borderId="0" xfId="0" applyNumberFormat="1"/>
    <xf numFmtId="44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14" fontId="1" fillId="0" borderId="0" xfId="0" applyNumberFormat="1" applyFont="1" applyFill="1" applyAlignment="1">
      <alignment horizont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numFmt numFmtId="19" formatCode="m/d/yyyy"/>
    </dxf>
    <dxf>
      <numFmt numFmtId="19" formatCode="m/d/yyyy"/>
    </dxf>
    <dxf>
      <numFmt numFmtId="34" formatCode="_(&quot;$&quot;* #,##0.00_);_(&quot;$&quot;* \(#,##0.00\);_(&quot;$&quot;* &quot;-&quot;??_);_(@_)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6F6B2F-E77C-47C1-89C9-63FE715A85E8}" name="engagement_tracker" displayName="engagement_tracker" ref="A1:J41" totalsRowShown="0" headerRowDxfId="0">
  <autoFilter ref="A1:J41" xr:uid="{136F6B2F-E77C-47C1-89C9-63FE715A85E8}"/>
  <tableColumns count="10">
    <tableColumn id="1" xr3:uid="{9E27C4F5-9078-453B-935B-4E86F8AD1FCA}" name="Engagement Id"/>
    <tableColumn id="2" xr3:uid="{75BD429A-5080-4C14-973C-E7D8BAB24412}" name="Client Name" dataDxfId="6"/>
    <tableColumn id="3" xr3:uid="{968031B7-0BE4-4F46-8D30-9EC81F216BD9}" name="Engagement"/>
    <tableColumn id="4" xr3:uid="{C907C244-0E34-477E-A41C-036F423ED7FA}" name="Analyst Name"/>
    <tableColumn id="5" xr3:uid="{A52C22FE-5E5D-4BE1-89D5-DD1C98AEEB35}" name="Status"/>
    <tableColumn id="6" xr3:uid="{0D07A96E-1FBF-4438-B303-632896B16D81}" name="City" dataDxfId="5"/>
    <tableColumn id="7" xr3:uid="{70F6D24A-A6AE-4D71-9559-902A3146A5B6}" name="State" dataDxfId="4"/>
    <tableColumn id="8" xr3:uid="{CE48FDAB-A938-47F1-B8B1-4DC70F496913}" name="Amount Billed" dataDxfId="3"/>
    <tableColumn id="9" xr3:uid="{60614AA1-7131-420F-95B5-125431056E0F}" name="Start Date" dataDxfId="2"/>
    <tableColumn id="10" xr3:uid="{E845495D-DBD9-4942-AD96-E28AC2FC5DA9}" name="Due Date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zoomScaleNormal="100" workbookViewId="0">
      <pane ySplit="1" topLeftCell="A2" activePane="bottomLeft" state="frozen"/>
      <selection pane="bottomLeft" activeCell="F3" sqref="F3"/>
    </sheetView>
  </sheetViews>
  <sheetFormatPr defaultColWidth="8.6328125" defaultRowHeight="14.5" x14ac:dyDescent="0.35"/>
  <cols>
    <col min="1" max="1" width="14" customWidth="1"/>
    <col min="2" max="2" width="26" customWidth="1"/>
    <col min="3" max="4" width="20" customWidth="1"/>
    <col min="5" max="5" width="16" customWidth="1"/>
    <col min="6" max="6" width="20" customWidth="1"/>
    <col min="7" max="7" width="14" customWidth="1"/>
    <col min="8" max="8" width="8" customWidth="1"/>
    <col min="9" max="9" width="14" customWidth="1"/>
    <col min="10" max="11" width="13" customWidth="1"/>
    <col min="14" max="14" width="3" customWidth="1"/>
  </cols>
  <sheetData>
    <row r="1" spans="1:11" ht="2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" x14ac:dyDescent="0.35">
      <c r="A2" t="s">
        <v>11</v>
      </c>
      <c r="B2" s="2" t="s">
        <v>12</v>
      </c>
      <c r="C2" t="s">
        <v>13</v>
      </c>
      <c r="D2" t="s">
        <v>14</v>
      </c>
      <c r="E2" t="s">
        <v>15</v>
      </c>
      <c r="F2" t="s">
        <v>16</v>
      </c>
      <c r="I2" t="s">
        <v>17</v>
      </c>
      <c r="J2" t="s">
        <v>18</v>
      </c>
      <c r="K2" t="s">
        <v>19</v>
      </c>
    </row>
    <row r="3" spans="1:11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I3" t="s">
        <v>25</v>
      </c>
      <c r="K3" t="s">
        <v>26</v>
      </c>
    </row>
    <row r="4" spans="1:11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I4" t="s">
        <v>33</v>
      </c>
      <c r="J4" t="s">
        <v>34</v>
      </c>
      <c r="K4">
        <v>46162</v>
      </c>
    </row>
    <row r="5" spans="1:11" x14ac:dyDescent="0.3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I5" t="s">
        <v>41</v>
      </c>
      <c r="J5" t="s">
        <v>42</v>
      </c>
      <c r="K5">
        <v>46143</v>
      </c>
    </row>
    <row r="6" spans="1:11" x14ac:dyDescent="0.35">
      <c r="A6" t="s">
        <v>43</v>
      </c>
      <c r="B6" t="s">
        <v>44</v>
      </c>
      <c r="C6" t="s">
        <v>45</v>
      </c>
      <c r="D6" t="s">
        <v>23</v>
      </c>
      <c r="E6" t="s">
        <v>46</v>
      </c>
      <c r="F6" t="s">
        <v>47</v>
      </c>
      <c r="I6" t="s">
        <v>48</v>
      </c>
      <c r="J6" t="s">
        <v>49</v>
      </c>
      <c r="K6">
        <v>46086</v>
      </c>
    </row>
    <row r="7" spans="1:11" x14ac:dyDescent="0.3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47</v>
      </c>
      <c r="I7" t="s">
        <v>55</v>
      </c>
      <c r="J7" t="s">
        <v>56</v>
      </c>
      <c r="K7" t="s">
        <v>57</v>
      </c>
    </row>
    <row r="8" spans="1:11" x14ac:dyDescent="0.3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I8" t="s">
        <v>64</v>
      </c>
      <c r="J8" t="s">
        <v>65</v>
      </c>
      <c r="K8" t="s">
        <v>66</v>
      </c>
    </row>
    <row r="9" spans="1:11" x14ac:dyDescent="0.35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32</v>
      </c>
      <c r="I9" t="s">
        <v>72</v>
      </c>
      <c r="J9">
        <v>46138</v>
      </c>
      <c r="K9" t="s">
        <v>73</v>
      </c>
    </row>
    <row r="10" spans="1:11" x14ac:dyDescent="0.35">
      <c r="A10" t="s">
        <v>74</v>
      </c>
      <c r="B10" t="s">
        <v>75</v>
      </c>
      <c r="C10" t="s">
        <v>76</v>
      </c>
      <c r="E10" t="s">
        <v>77</v>
      </c>
      <c r="F10" t="s">
        <v>78</v>
      </c>
      <c r="I10">
        <v>25568.85</v>
      </c>
      <c r="J10" t="s">
        <v>79</v>
      </c>
      <c r="K10">
        <v>46134</v>
      </c>
    </row>
    <row r="11" spans="1:11" x14ac:dyDescent="0.35">
      <c r="A11" t="s">
        <v>80</v>
      </c>
      <c r="B11" t="s">
        <v>28</v>
      </c>
      <c r="C11" t="s">
        <v>22</v>
      </c>
      <c r="D11" t="s">
        <v>70</v>
      </c>
      <c r="E11" t="s">
        <v>81</v>
      </c>
      <c r="F11" t="s">
        <v>40</v>
      </c>
      <c r="I11" t="s">
        <v>82</v>
      </c>
      <c r="J11" t="s">
        <v>83</v>
      </c>
      <c r="K11" t="s">
        <v>84</v>
      </c>
    </row>
    <row r="12" spans="1:11" x14ac:dyDescent="0.35">
      <c r="A12" t="s">
        <v>85</v>
      </c>
      <c r="B12" t="s">
        <v>86</v>
      </c>
      <c r="C12" t="s">
        <v>87</v>
      </c>
      <c r="D12" t="s">
        <v>30</v>
      </c>
      <c r="E12" t="s">
        <v>88</v>
      </c>
      <c r="F12" t="s">
        <v>89</v>
      </c>
      <c r="I12">
        <v>22065.03</v>
      </c>
      <c r="J12">
        <v>46074</v>
      </c>
      <c r="K12">
        <v>46089</v>
      </c>
    </row>
    <row r="13" spans="1:11" x14ac:dyDescent="0.35">
      <c r="A13" t="s">
        <v>90</v>
      </c>
      <c r="B13" t="s">
        <v>91</v>
      </c>
      <c r="C13" t="s">
        <v>92</v>
      </c>
      <c r="D13" t="s">
        <v>93</v>
      </c>
      <c r="E13" t="s">
        <v>54</v>
      </c>
      <c r="F13" t="s">
        <v>40</v>
      </c>
      <c r="I13">
        <v>23618.19</v>
      </c>
      <c r="J13" t="s">
        <v>94</v>
      </c>
      <c r="K13">
        <v>46109</v>
      </c>
    </row>
    <row r="14" spans="1:11" x14ac:dyDescent="0.35">
      <c r="A14" t="s">
        <v>95</v>
      </c>
      <c r="B14" t="s">
        <v>28</v>
      </c>
      <c r="C14" t="s">
        <v>96</v>
      </c>
      <c r="D14" t="s">
        <v>97</v>
      </c>
      <c r="E14" t="s">
        <v>62</v>
      </c>
      <c r="F14" t="s">
        <v>89</v>
      </c>
      <c r="I14" t="s">
        <v>98</v>
      </c>
      <c r="J14" t="s">
        <v>99</v>
      </c>
      <c r="K14" t="s">
        <v>79</v>
      </c>
    </row>
    <row r="15" spans="1:11" x14ac:dyDescent="0.35">
      <c r="A15" t="s">
        <v>100</v>
      </c>
      <c r="B15" t="s">
        <v>28</v>
      </c>
      <c r="C15" t="s">
        <v>101</v>
      </c>
      <c r="D15" t="s">
        <v>93</v>
      </c>
      <c r="E15" t="s">
        <v>102</v>
      </c>
      <c r="F15" t="s">
        <v>16</v>
      </c>
      <c r="I15" t="s">
        <v>103</v>
      </c>
      <c r="J15">
        <v>46122</v>
      </c>
      <c r="K15" t="s">
        <v>104</v>
      </c>
    </row>
    <row r="16" spans="1:11" x14ac:dyDescent="0.35">
      <c r="A16" t="s">
        <v>105</v>
      </c>
      <c r="B16" t="s">
        <v>106</v>
      </c>
      <c r="C16" t="s">
        <v>107</v>
      </c>
      <c r="D16" t="s">
        <v>97</v>
      </c>
      <c r="E16" t="s">
        <v>108</v>
      </c>
      <c r="F16" t="s">
        <v>16</v>
      </c>
      <c r="I16" t="s">
        <v>109</v>
      </c>
      <c r="J16" t="s">
        <v>110</v>
      </c>
      <c r="K16" t="s">
        <v>111</v>
      </c>
    </row>
    <row r="17" spans="1:11" x14ac:dyDescent="0.35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I17" t="s">
        <v>118</v>
      </c>
      <c r="J17">
        <v>46068</v>
      </c>
      <c r="K17">
        <v>46090</v>
      </c>
    </row>
    <row r="18" spans="1:11" x14ac:dyDescent="0.35">
      <c r="A18" t="s">
        <v>35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I18" t="s">
        <v>41</v>
      </c>
      <c r="J18" t="s">
        <v>42</v>
      </c>
      <c r="K18">
        <v>46143</v>
      </c>
    </row>
    <row r="19" spans="1:11" x14ac:dyDescent="0.35">
      <c r="A19" t="s">
        <v>119</v>
      </c>
      <c r="B19" t="s">
        <v>120</v>
      </c>
      <c r="C19" t="s">
        <v>121</v>
      </c>
      <c r="D19" t="s">
        <v>122</v>
      </c>
      <c r="E19" t="s">
        <v>123</v>
      </c>
      <c r="F19" t="s">
        <v>63</v>
      </c>
      <c r="I19" t="s">
        <v>124</v>
      </c>
      <c r="J19">
        <v>46165</v>
      </c>
      <c r="K19" t="s">
        <v>125</v>
      </c>
    </row>
    <row r="20" spans="1:11" x14ac:dyDescent="0.35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32</v>
      </c>
      <c r="I20">
        <v>25001.85</v>
      </c>
      <c r="J20" t="s">
        <v>131</v>
      </c>
      <c r="K20" t="s">
        <v>132</v>
      </c>
    </row>
    <row r="21" spans="1:11" x14ac:dyDescent="0.35">
      <c r="A21" t="s">
        <v>133</v>
      </c>
      <c r="B21" t="s">
        <v>86</v>
      </c>
      <c r="C21" t="s">
        <v>134</v>
      </c>
      <c r="D21" t="s">
        <v>129</v>
      </c>
      <c r="E21" t="s">
        <v>62</v>
      </c>
      <c r="F21" t="s">
        <v>47</v>
      </c>
      <c r="I21" t="s">
        <v>135</v>
      </c>
      <c r="J21" t="s">
        <v>136</v>
      </c>
      <c r="K21">
        <v>46124</v>
      </c>
    </row>
    <row r="22" spans="1:11" x14ac:dyDescent="0.35">
      <c r="A22" t="s">
        <v>137</v>
      </c>
      <c r="B22" t="s">
        <v>28</v>
      </c>
      <c r="C22" t="s">
        <v>69</v>
      </c>
      <c r="D22" t="s">
        <v>14</v>
      </c>
      <c r="E22" t="s">
        <v>138</v>
      </c>
      <c r="F22" t="s">
        <v>16</v>
      </c>
      <c r="J22" t="s">
        <v>139</v>
      </c>
      <c r="K22" t="s">
        <v>140</v>
      </c>
    </row>
    <row r="23" spans="1:11" x14ac:dyDescent="0.35">
      <c r="A23" t="s">
        <v>141</v>
      </c>
      <c r="B23" t="s">
        <v>127</v>
      </c>
      <c r="C23" t="s">
        <v>60</v>
      </c>
      <c r="D23" t="s">
        <v>142</v>
      </c>
      <c r="E23" t="s">
        <v>143</v>
      </c>
      <c r="F23" t="s">
        <v>32</v>
      </c>
      <c r="I23" t="s">
        <v>144</v>
      </c>
      <c r="J23">
        <v>46122</v>
      </c>
      <c r="K23">
        <v>46156</v>
      </c>
    </row>
    <row r="24" spans="1:11" x14ac:dyDescent="0.35">
      <c r="A24" t="s">
        <v>145</v>
      </c>
      <c r="B24" t="s">
        <v>59</v>
      </c>
      <c r="C24" t="s">
        <v>121</v>
      </c>
      <c r="D24" t="s">
        <v>70</v>
      </c>
      <c r="E24" t="s">
        <v>39</v>
      </c>
      <c r="F24" t="s">
        <v>117</v>
      </c>
      <c r="I24" t="s">
        <v>146</v>
      </c>
      <c r="J24">
        <v>46086</v>
      </c>
      <c r="K24" t="s">
        <v>147</v>
      </c>
    </row>
    <row r="25" spans="1:11" x14ac:dyDescent="0.35">
      <c r="A25" t="s">
        <v>148</v>
      </c>
      <c r="B25" t="s">
        <v>149</v>
      </c>
      <c r="C25" t="s">
        <v>150</v>
      </c>
      <c r="D25" t="s">
        <v>151</v>
      </c>
      <c r="E25" t="s">
        <v>39</v>
      </c>
      <c r="F25" t="s">
        <v>63</v>
      </c>
      <c r="I25" t="s">
        <v>152</v>
      </c>
      <c r="J25" t="s">
        <v>153</v>
      </c>
      <c r="K25" t="s">
        <v>154</v>
      </c>
    </row>
    <row r="26" spans="1:11" x14ac:dyDescent="0.35">
      <c r="A26" t="s">
        <v>155</v>
      </c>
      <c r="B26" t="s">
        <v>156</v>
      </c>
      <c r="C26" t="s">
        <v>157</v>
      </c>
      <c r="D26" t="s">
        <v>158</v>
      </c>
      <c r="E26" t="s">
        <v>159</v>
      </c>
      <c r="F26" t="s">
        <v>40</v>
      </c>
      <c r="I26">
        <v>16912.400000000001</v>
      </c>
      <c r="J26" t="s">
        <v>160</v>
      </c>
      <c r="K26" t="s">
        <v>140</v>
      </c>
    </row>
    <row r="27" spans="1:11" x14ac:dyDescent="0.35">
      <c r="A27" t="s">
        <v>161</v>
      </c>
      <c r="B27" t="s">
        <v>28</v>
      </c>
      <c r="C27" t="s">
        <v>162</v>
      </c>
      <c r="D27" t="s">
        <v>163</v>
      </c>
      <c r="E27" t="s">
        <v>164</v>
      </c>
      <c r="F27" t="s">
        <v>117</v>
      </c>
      <c r="I27" t="s">
        <v>165</v>
      </c>
      <c r="J27">
        <v>46114</v>
      </c>
      <c r="K27" t="s">
        <v>166</v>
      </c>
    </row>
    <row r="28" spans="1:11" x14ac:dyDescent="0.35">
      <c r="A28" t="s">
        <v>85</v>
      </c>
      <c r="B28" t="s">
        <v>86</v>
      </c>
      <c r="C28" t="s">
        <v>87</v>
      </c>
      <c r="D28" t="s">
        <v>30</v>
      </c>
      <c r="E28" t="s">
        <v>88</v>
      </c>
      <c r="F28" t="s">
        <v>89</v>
      </c>
      <c r="I28">
        <v>22065.03</v>
      </c>
      <c r="J28">
        <v>46074</v>
      </c>
      <c r="K28">
        <v>46089</v>
      </c>
    </row>
    <row r="29" spans="1:11" x14ac:dyDescent="0.35">
      <c r="A29" t="s">
        <v>167</v>
      </c>
      <c r="B29" t="s">
        <v>168</v>
      </c>
      <c r="C29" t="s">
        <v>169</v>
      </c>
      <c r="D29" t="s">
        <v>151</v>
      </c>
      <c r="E29" t="s">
        <v>170</v>
      </c>
      <c r="F29" t="s">
        <v>47</v>
      </c>
      <c r="I29" t="s">
        <v>171</v>
      </c>
      <c r="J29" t="s">
        <v>172</v>
      </c>
      <c r="K29" t="s">
        <v>173</v>
      </c>
    </row>
    <row r="30" spans="1:11" x14ac:dyDescent="0.35">
      <c r="A30" t="s">
        <v>174</v>
      </c>
      <c r="B30" t="s">
        <v>175</v>
      </c>
      <c r="C30" t="s">
        <v>176</v>
      </c>
      <c r="D30" t="s">
        <v>177</v>
      </c>
      <c r="E30" t="s">
        <v>170</v>
      </c>
      <c r="F30" t="s">
        <v>63</v>
      </c>
      <c r="I30" t="s">
        <v>178</v>
      </c>
      <c r="J30" t="s">
        <v>179</v>
      </c>
      <c r="K30" t="s">
        <v>180</v>
      </c>
    </row>
    <row r="31" spans="1:11" x14ac:dyDescent="0.35">
      <c r="A31" t="s">
        <v>181</v>
      </c>
      <c r="B31" t="s">
        <v>182</v>
      </c>
      <c r="C31" t="s">
        <v>183</v>
      </c>
      <c r="D31" t="s">
        <v>184</v>
      </c>
      <c r="E31" t="s">
        <v>185</v>
      </c>
      <c r="F31" t="s">
        <v>78</v>
      </c>
      <c r="I31" t="s">
        <v>186</v>
      </c>
      <c r="J31">
        <v>46097</v>
      </c>
      <c r="K31" t="s">
        <v>187</v>
      </c>
    </row>
    <row r="32" spans="1:11" x14ac:dyDescent="0.35">
      <c r="A32" t="s">
        <v>188</v>
      </c>
      <c r="B32" t="s">
        <v>156</v>
      </c>
      <c r="C32" t="s">
        <v>189</v>
      </c>
      <c r="D32" t="s">
        <v>23</v>
      </c>
      <c r="E32" t="s">
        <v>190</v>
      </c>
      <c r="F32" t="s">
        <v>40</v>
      </c>
      <c r="I32" t="s">
        <v>191</v>
      </c>
      <c r="J32" t="s">
        <v>192</v>
      </c>
      <c r="K32">
        <v>46088</v>
      </c>
    </row>
    <row r="33" spans="1:11" x14ac:dyDescent="0.35">
      <c r="A33" t="s">
        <v>193</v>
      </c>
      <c r="B33" t="s">
        <v>194</v>
      </c>
      <c r="C33" t="s">
        <v>121</v>
      </c>
      <c r="D33" t="s">
        <v>53</v>
      </c>
      <c r="E33" t="s">
        <v>108</v>
      </c>
      <c r="F33" t="s">
        <v>117</v>
      </c>
      <c r="I33">
        <v>1830.43</v>
      </c>
      <c r="J33" t="s">
        <v>195</v>
      </c>
      <c r="K33">
        <v>46087</v>
      </c>
    </row>
    <row r="34" spans="1:11" x14ac:dyDescent="0.35">
      <c r="A34" t="s">
        <v>196</v>
      </c>
      <c r="B34" t="s">
        <v>197</v>
      </c>
      <c r="C34" t="s">
        <v>198</v>
      </c>
      <c r="D34" t="s">
        <v>115</v>
      </c>
      <c r="E34" t="s">
        <v>199</v>
      </c>
      <c r="F34" t="s">
        <v>63</v>
      </c>
      <c r="I34" t="s">
        <v>200</v>
      </c>
      <c r="J34">
        <v>46081</v>
      </c>
      <c r="K34" t="s">
        <v>201</v>
      </c>
    </row>
    <row r="35" spans="1:11" x14ac:dyDescent="0.35">
      <c r="A35" t="s">
        <v>202</v>
      </c>
      <c r="B35" t="s">
        <v>203</v>
      </c>
      <c r="C35" t="s">
        <v>204</v>
      </c>
      <c r="D35" t="s">
        <v>142</v>
      </c>
      <c r="E35" t="s">
        <v>205</v>
      </c>
      <c r="F35" t="s">
        <v>78</v>
      </c>
      <c r="I35" t="s">
        <v>206</v>
      </c>
      <c r="J35" t="s">
        <v>207</v>
      </c>
      <c r="K35" t="s">
        <v>208</v>
      </c>
    </row>
    <row r="36" spans="1:11" x14ac:dyDescent="0.35">
      <c r="A36" t="s">
        <v>155</v>
      </c>
      <c r="B36" t="s">
        <v>156</v>
      </c>
      <c r="C36" t="s">
        <v>157</v>
      </c>
      <c r="D36" t="s">
        <v>158</v>
      </c>
      <c r="E36" t="s">
        <v>159</v>
      </c>
      <c r="F36" t="s">
        <v>40</v>
      </c>
      <c r="I36">
        <v>16912.400000000001</v>
      </c>
      <c r="J36" t="s">
        <v>160</v>
      </c>
      <c r="K36" t="s">
        <v>140</v>
      </c>
    </row>
    <row r="37" spans="1:11" x14ac:dyDescent="0.35">
      <c r="A37" t="s">
        <v>209</v>
      </c>
      <c r="B37" t="s">
        <v>175</v>
      </c>
      <c r="C37" t="s">
        <v>210</v>
      </c>
      <c r="D37" t="s">
        <v>211</v>
      </c>
      <c r="E37" t="s">
        <v>212</v>
      </c>
      <c r="F37" t="s">
        <v>16</v>
      </c>
      <c r="I37" t="s">
        <v>213</v>
      </c>
      <c r="J37" t="s">
        <v>214</v>
      </c>
      <c r="K37">
        <v>46118</v>
      </c>
    </row>
    <row r="38" spans="1:11" x14ac:dyDescent="0.35">
      <c r="A38" t="s">
        <v>215</v>
      </c>
      <c r="B38" t="s">
        <v>21</v>
      </c>
      <c r="C38" t="s">
        <v>216</v>
      </c>
      <c r="D38" t="s">
        <v>217</v>
      </c>
      <c r="E38" t="s">
        <v>24</v>
      </c>
      <c r="F38" t="s">
        <v>63</v>
      </c>
      <c r="I38">
        <v>18211.59</v>
      </c>
      <c r="J38" t="s">
        <v>218</v>
      </c>
      <c r="K38">
        <v>46169</v>
      </c>
    </row>
    <row r="39" spans="1:11" x14ac:dyDescent="0.35">
      <c r="A39" t="s">
        <v>219</v>
      </c>
      <c r="B39" t="s">
        <v>220</v>
      </c>
      <c r="C39" t="s">
        <v>221</v>
      </c>
      <c r="D39" t="s">
        <v>61</v>
      </c>
      <c r="E39" t="s">
        <v>24</v>
      </c>
      <c r="F39" t="s">
        <v>16</v>
      </c>
      <c r="I39" t="s">
        <v>222</v>
      </c>
      <c r="J39">
        <v>46075</v>
      </c>
      <c r="K39" t="s">
        <v>223</v>
      </c>
    </row>
    <row r="40" spans="1:11" x14ac:dyDescent="0.35">
      <c r="A40" t="s">
        <v>224</v>
      </c>
      <c r="B40" t="s">
        <v>175</v>
      </c>
      <c r="C40" t="s">
        <v>92</v>
      </c>
      <c r="D40" t="s">
        <v>225</v>
      </c>
      <c r="E40" t="s">
        <v>130</v>
      </c>
      <c r="F40" t="s">
        <v>63</v>
      </c>
      <c r="I40" t="s">
        <v>226</v>
      </c>
      <c r="J40" t="s">
        <v>227</v>
      </c>
      <c r="K40" t="s">
        <v>228</v>
      </c>
    </row>
    <row r="41" spans="1:11" x14ac:dyDescent="0.35">
      <c r="A41" t="s">
        <v>229</v>
      </c>
      <c r="B41" t="s">
        <v>28</v>
      </c>
      <c r="C41" t="s">
        <v>37</v>
      </c>
      <c r="D41" t="s">
        <v>38</v>
      </c>
      <c r="E41" t="s">
        <v>123</v>
      </c>
      <c r="F41" t="s">
        <v>117</v>
      </c>
      <c r="I41">
        <v>18924.91</v>
      </c>
      <c r="J41" t="s">
        <v>230</v>
      </c>
      <c r="K41">
        <v>46181</v>
      </c>
    </row>
    <row r="42" spans="1:11" x14ac:dyDescent="0.35">
      <c r="A42" t="s">
        <v>231</v>
      </c>
      <c r="B42" t="s">
        <v>168</v>
      </c>
      <c r="C42" t="s">
        <v>134</v>
      </c>
      <c r="D42" t="s">
        <v>232</v>
      </c>
      <c r="E42" t="s">
        <v>39</v>
      </c>
      <c r="I42" t="s">
        <v>233</v>
      </c>
      <c r="J42" t="s">
        <v>234</v>
      </c>
      <c r="K42">
        <v>46187</v>
      </c>
    </row>
    <row r="43" spans="1:11" x14ac:dyDescent="0.35">
      <c r="A43" t="s">
        <v>235</v>
      </c>
      <c r="B43" t="s">
        <v>236</v>
      </c>
      <c r="C43" t="s">
        <v>237</v>
      </c>
      <c r="D43" t="s">
        <v>238</v>
      </c>
      <c r="E43" t="s">
        <v>239</v>
      </c>
      <c r="F43" t="s">
        <v>47</v>
      </c>
      <c r="I43" t="s">
        <v>240</v>
      </c>
      <c r="J43" t="s">
        <v>241</v>
      </c>
      <c r="K43" t="s">
        <v>242</v>
      </c>
    </row>
    <row r="44" spans="1:11" x14ac:dyDescent="0.35">
      <c r="A44" t="s">
        <v>243</v>
      </c>
      <c r="B44" t="s">
        <v>244</v>
      </c>
      <c r="C44" t="s">
        <v>245</v>
      </c>
      <c r="D44" t="s">
        <v>30</v>
      </c>
      <c r="E44" t="s">
        <v>190</v>
      </c>
      <c r="F44" t="s">
        <v>32</v>
      </c>
      <c r="I44">
        <v>7138.66</v>
      </c>
      <c r="J44" t="s">
        <v>246</v>
      </c>
      <c r="K44" t="s">
        <v>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9EEF-FF8E-4680-90D6-298ADC97DFEB}">
  <dimension ref="A1:Z41"/>
  <sheetViews>
    <sheetView zoomScaleNormal="100" workbookViewId="0">
      <pane ySplit="1" topLeftCell="A2" activePane="bottomLeft" state="frozen"/>
      <selection pane="bottomLeft" activeCell="T25" sqref="T25"/>
    </sheetView>
  </sheetViews>
  <sheetFormatPr defaultColWidth="8.6328125" defaultRowHeight="14.5" x14ac:dyDescent="0.35"/>
  <cols>
    <col min="1" max="1" width="13.1796875" customWidth="1"/>
    <col min="2" max="3" width="11.453125" bestFit="1" customWidth="1"/>
    <col min="4" max="4" width="15.6328125" bestFit="1" customWidth="1"/>
    <col min="5" max="5" width="19.08984375" bestFit="1" customWidth="1"/>
    <col min="6" max="6" width="21" bestFit="1" customWidth="1"/>
    <col min="7" max="7" width="28.7265625" customWidth="1"/>
    <col min="8" max="11" width="23.7265625" customWidth="1"/>
    <col min="12" max="12" width="27.08984375" customWidth="1"/>
    <col min="13" max="13" width="20.81640625" customWidth="1"/>
    <col min="14" max="14" width="27.08984375" customWidth="1"/>
    <col min="15" max="15" width="18.08984375" customWidth="1"/>
    <col min="16" max="16" width="16.6328125" customWidth="1"/>
    <col min="17" max="17" width="18.08984375" customWidth="1"/>
    <col min="18" max="20" width="15.6328125" customWidth="1"/>
    <col min="21" max="21" width="18.90625" customWidth="1"/>
    <col min="22" max="22" width="9.36328125" bestFit="1" customWidth="1"/>
    <col min="23" max="23" width="6" bestFit="1" customWidth="1"/>
    <col min="24" max="24" width="13.81640625" bestFit="1" customWidth="1"/>
    <col min="25" max="26" width="11.7265625" style="5" bestFit="1" customWidth="1"/>
    <col min="29" max="29" width="3" customWidth="1"/>
    <col min="31" max="31" width="19.26953125" customWidth="1"/>
  </cols>
  <sheetData>
    <row r="1" spans="1:26" ht="42.5" x14ac:dyDescent="0.35">
      <c r="A1" s="1" t="s">
        <v>0</v>
      </c>
      <c r="B1" s="7" t="s">
        <v>291</v>
      </c>
      <c r="C1" s="7" t="s">
        <v>292</v>
      </c>
      <c r="D1" s="7" t="s">
        <v>293</v>
      </c>
      <c r="E1" s="7" t="s">
        <v>294</v>
      </c>
      <c r="F1" s="7" t="s">
        <v>295</v>
      </c>
      <c r="G1" s="1" t="s">
        <v>1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</v>
      </c>
      <c r="M1" s="1" t="s">
        <v>265</v>
      </c>
      <c r="N1" s="1" t="s">
        <v>269</v>
      </c>
      <c r="O1" s="1" t="s">
        <v>3</v>
      </c>
      <c r="P1" s="1" t="s">
        <v>254</v>
      </c>
      <c r="Q1" s="1" t="s">
        <v>255</v>
      </c>
      <c r="R1" s="1" t="s">
        <v>4</v>
      </c>
      <c r="S1" s="1" t="s">
        <v>259</v>
      </c>
      <c r="T1" s="1" t="s">
        <v>260</v>
      </c>
      <c r="U1" s="1" t="s">
        <v>5</v>
      </c>
      <c r="V1" s="1" t="s">
        <v>6</v>
      </c>
      <c r="W1" s="1" t="s">
        <v>7</v>
      </c>
      <c r="X1" s="1" t="s">
        <v>8</v>
      </c>
      <c r="Y1" s="4" t="s">
        <v>9</v>
      </c>
      <c r="Z1" s="4" t="s">
        <v>10</v>
      </c>
    </row>
    <row r="2" spans="1:26" ht="29" x14ac:dyDescent="0.35">
      <c r="A2" t="s">
        <v>11</v>
      </c>
      <c r="B2" t="str">
        <f t="shared" ref="B2:B41" si="0">CLEAN(TRIM(A2))</f>
        <v>ENG_4007</v>
      </c>
      <c r="C2" t="str">
        <f>UPPER(B2)</f>
        <v>ENG_4007</v>
      </c>
      <c r="D2" t="str">
        <f>SUBSTITUTE(C2, "_", "-")</f>
        <v>ENG-4007</v>
      </c>
      <c r="E2" t="str">
        <f>IF(LEN(D2)&lt;&gt;8,"NOT GOOD","OK")</f>
        <v>OK</v>
      </c>
      <c r="F2" t="s">
        <v>296</v>
      </c>
      <c r="G2" s="2" t="s">
        <v>12</v>
      </c>
      <c r="H2" s="2" t="str">
        <f>TRIM(G2)</f>
        <v xml:space="preserve">Cobalt Trust &amp; Savings 
</v>
      </c>
      <c r="I2" s="2" t="str">
        <f>PROPER(H2)</f>
        <v xml:space="preserve">Cobalt Trust &amp; Savings 
</v>
      </c>
      <c r="J2" s="2" t="str">
        <f>CLEAN(I2)</f>
        <v xml:space="preserve">Cobalt Trust &amp; Savings </v>
      </c>
      <c r="K2" s="2" t="s">
        <v>251</v>
      </c>
      <c r="L2" t="s">
        <v>13</v>
      </c>
      <c r="M2" t="str">
        <f t="shared" ref="M2:M6" si="1">CLEAN(PROPER(TRIM(L2)))</f>
        <v>Sanctions Screening</v>
      </c>
      <c r="N2" t="s">
        <v>266</v>
      </c>
      <c r="O2" t="s">
        <v>14</v>
      </c>
      <c r="P2" t="str">
        <f>CLEAN(PROPER(TRIM(O2)))</f>
        <v>Maya Chen</v>
      </c>
      <c r="Q2" t="s">
        <v>30</v>
      </c>
      <c r="R2" t="s">
        <v>15</v>
      </c>
      <c r="S2" t="str">
        <f>CLEAN(PROPER(TRIM(R2)))</f>
        <v>Completed</v>
      </c>
      <c r="T2" t="s">
        <v>138</v>
      </c>
      <c r="U2" t="s">
        <v>16</v>
      </c>
      <c r="V2" s="3" t="s">
        <v>275</v>
      </c>
      <c r="W2" s="3" t="s">
        <v>283</v>
      </c>
      <c r="X2" s="6">
        <v>25795.63</v>
      </c>
      <c r="Y2" s="5">
        <v>46118</v>
      </c>
      <c r="Z2" s="5">
        <v>46130</v>
      </c>
    </row>
    <row r="3" spans="1:26" x14ac:dyDescent="0.35">
      <c r="A3" t="s">
        <v>20</v>
      </c>
      <c r="B3" t="str">
        <f t="shared" si="0"/>
        <v>ENG_4019</v>
      </c>
      <c r="C3" t="str">
        <f t="shared" ref="C3:C41" si="2">UPPER(B3)</f>
        <v>ENG_4019</v>
      </c>
      <c r="D3" t="str">
        <f t="shared" ref="D3:D41" si="3">SUBSTITUTE(C3, "_", "-")</f>
        <v>ENG-4019</v>
      </c>
      <c r="E3" t="str">
        <f t="shared" ref="E3:E41" si="4">IF(LEN(D3)&lt;&gt;8,"NOT GOOD","OK")</f>
        <v>OK</v>
      </c>
      <c r="F3" t="s">
        <v>297</v>
      </c>
      <c r="G3" t="s">
        <v>21</v>
      </c>
      <c r="H3" s="2" t="str">
        <f t="shared" ref="H3:H41" si="5">TRIM(G3)</f>
        <v>Harborview National Bank</v>
      </c>
      <c r="I3" s="2" t="str">
        <f>PROPER(H3)</f>
        <v>Harborview National Bank</v>
      </c>
      <c r="J3" s="2" t="str">
        <f>CLEAN(I3)</f>
        <v>Harborview National Bank</v>
      </c>
      <c r="K3" s="2" t="s">
        <v>21</v>
      </c>
      <c r="L3" t="s">
        <v>270</v>
      </c>
      <c r="M3" t="str">
        <f t="shared" si="1"/>
        <v>Aml Investigation</v>
      </c>
      <c r="N3" t="s">
        <v>128</v>
      </c>
      <c r="O3" t="s">
        <v>23</v>
      </c>
      <c r="P3" t="str">
        <f t="shared" ref="P3:Q41" si="6">CLEAN(PROPER(TRIM(O3)))</f>
        <v>Sade Okafor</v>
      </c>
      <c r="Q3" t="s">
        <v>23</v>
      </c>
      <c r="R3" t="s">
        <v>24</v>
      </c>
      <c r="S3" t="str">
        <f t="shared" ref="S3:S41" si="7">CLEAN(PROPER(TRIM(R3)))</f>
        <v>Not Started</v>
      </c>
      <c r="T3" t="s">
        <v>261</v>
      </c>
      <c r="U3" t="s">
        <v>16</v>
      </c>
      <c r="V3" s="3" t="s">
        <v>275</v>
      </c>
      <c r="W3" s="3" t="s">
        <v>283</v>
      </c>
      <c r="X3" s="6">
        <v>13216.13</v>
      </c>
      <c r="Z3" s="5">
        <v>46095</v>
      </c>
    </row>
    <row r="4" spans="1:26" x14ac:dyDescent="0.35">
      <c r="A4" t="s">
        <v>27</v>
      </c>
      <c r="B4" t="str">
        <f>CLEAN(TRIM(A4))</f>
        <v>eng_4022</v>
      </c>
      <c r="C4" t="str">
        <f t="shared" si="2"/>
        <v>ENG_4022</v>
      </c>
      <c r="D4" t="str">
        <f t="shared" si="3"/>
        <v>ENG-4022</v>
      </c>
      <c r="E4" t="str">
        <f t="shared" si="4"/>
        <v>OK</v>
      </c>
      <c r="F4" t="s">
        <v>298</v>
      </c>
      <c r="G4" t="s">
        <v>28</v>
      </c>
      <c r="H4" s="2" t="str">
        <f t="shared" si="5"/>
        <v>Cobalt Trust &amp; Savings</v>
      </c>
      <c r="I4" s="2" t="str">
        <f t="shared" ref="I4:I41" si="8">PROPER(H4)</f>
        <v>Cobalt Trust &amp; Savings</v>
      </c>
      <c r="J4" s="2" t="str">
        <f t="shared" ref="J4:K41" si="9">CLEAN(I4)</f>
        <v>Cobalt Trust &amp; Savings</v>
      </c>
      <c r="K4" s="2" t="s">
        <v>252</v>
      </c>
      <c r="L4" t="s">
        <v>29</v>
      </c>
      <c r="M4" t="str">
        <f t="shared" si="1"/>
        <v>Transaction Monitoring</v>
      </c>
      <c r="N4" t="s">
        <v>267</v>
      </c>
      <c r="O4" t="s">
        <v>30</v>
      </c>
      <c r="P4" t="str">
        <f t="shared" si="6"/>
        <v>Maya Chen</v>
      </c>
      <c r="Q4" t="s">
        <v>30</v>
      </c>
      <c r="R4" t="s">
        <v>31</v>
      </c>
      <c r="S4" t="str">
        <f t="shared" si="7"/>
        <v>Completed</v>
      </c>
      <c r="T4" t="s">
        <v>138</v>
      </c>
      <c r="U4" t="s">
        <v>32</v>
      </c>
      <c r="V4" s="3" t="s">
        <v>276</v>
      </c>
      <c r="W4" s="3" t="s">
        <v>284</v>
      </c>
      <c r="X4" s="6">
        <v>12257.62</v>
      </c>
      <c r="Y4" s="5">
        <v>46123</v>
      </c>
      <c r="Z4" s="5">
        <v>46162</v>
      </c>
    </row>
    <row r="5" spans="1:26" x14ac:dyDescent="0.35">
      <c r="A5" t="s">
        <v>35</v>
      </c>
      <c r="B5" t="str">
        <f t="shared" si="0"/>
        <v>eng-4010</v>
      </c>
      <c r="C5" t="str">
        <f t="shared" si="2"/>
        <v>ENG-4010</v>
      </c>
      <c r="D5" t="str">
        <f t="shared" si="3"/>
        <v>ENG-4010</v>
      </c>
      <c r="E5" t="str">
        <f t="shared" si="4"/>
        <v>OK</v>
      </c>
      <c r="F5" t="s">
        <v>299</v>
      </c>
      <c r="G5" t="s">
        <v>36</v>
      </c>
      <c r="H5" s="2" t="str">
        <f t="shared" si="5"/>
        <v>riverbend financial group</v>
      </c>
      <c r="I5" s="2" t="str">
        <f t="shared" si="8"/>
        <v>Riverbend Financial Group</v>
      </c>
      <c r="J5" s="2" t="str">
        <f t="shared" si="9"/>
        <v>Riverbend Financial Group</v>
      </c>
      <c r="K5" s="2" t="s">
        <v>175</v>
      </c>
      <c r="L5" t="s">
        <v>37</v>
      </c>
      <c r="M5" t="str">
        <f t="shared" si="1"/>
        <v>Kyc Review</v>
      </c>
      <c r="N5" t="s">
        <v>274</v>
      </c>
      <c r="O5" t="s">
        <v>38</v>
      </c>
      <c r="P5" t="str">
        <f t="shared" si="6"/>
        <v>Trevor Nguyen</v>
      </c>
      <c r="Q5" t="s">
        <v>256</v>
      </c>
      <c r="R5" t="s">
        <v>39</v>
      </c>
      <c r="S5" t="str">
        <f t="shared" si="7"/>
        <v>In Progress</v>
      </c>
      <c r="T5" t="s">
        <v>262</v>
      </c>
      <c r="U5" t="s">
        <v>40</v>
      </c>
      <c r="V5" s="3" t="s">
        <v>277</v>
      </c>
      <c r="W5" s="3" t="s">
        <v>285</v>
      </c>
      <c r="X5" s="6">
        <v>26647.14</v>
      </c>
      <c r="Y5" s="5">
        <v>46133</v>
      </c>
      <c r="Z5" s="5">
        <v>46143</v>
      </c>
    </row>
    <row r="6" spans="1:26" x14ac:dyDescent="0.35">
      <c r="A6" t="s">
        <v>43</v>
      </c>
      <c r="B6" t="str">
        <f t="shared" si="0"/>
        <v>ENG-4011</v>
      </c>
      <c r="C6" t="str">
        <f t="shared" si="2"/>
        <v>ENG-4011</v>
      </c>
      <c r="D6" t="str">
        <f t="shared" si="3"/>
        <v>ENG-4011</v>
      </c>
      <c r="E6" t="str">
        <f t="shared" si="4"/>
        <v>OK</v>
      </c>
      <c r="F6" t="s">
        <v>300</v>
      </c>
      <c r="G6" t="s">
        <v>44</v>
      </c>
      <c r="H6" s="2" t="str">
        <f t="shared" si="5"/>
        <v>Riverbend Financial Group</v>
      </c>
      <c r="I6" s="2" t="str">
        <f t="shared" si="8"/>
        <v>Riverbend Financial Group</v>
      </c>
      <c r="J6" s="2" t="str">
        <f t="shared" si="9"/>
        <v>Riverbend Financial Group</v>
      </c>
      <c r="K6" s="2" t="s">
        <v>175</v>
      </c>
      <c r="L6" t="s">
        <v>45</v>
      </c>
      <c r="M6" t="str">
        <f t="shared" si="1"/>
        <v>Sar Filing</v>
      </c>
      <c r="N6" t="s">
        <v>273</v>
      </c>
      <c r="O6" t="s">
        <v>23</v>
      </c>
      <c r="P6" t="str">
        <f t="shared" si="6"/>
        <v>Sade Okafor</v>
      </c>
      <c r="Q6" t="s">
        <v>23</v>
      </c>
      <c r="R6" t="s">
        <v>46</v>
      </c>
      <c r="S6" t="str">
        <f t="shared" si="7"/>
        <v>Completed</v>
      </c>
      <c r="T6" t="s">
        <v>138</v>
      </c>
      <c r="U6" t="s">
        <v>47</v>
      </c>
      <c r="V6" s="3" t="s">
        <v>278</v>
      </c>
      <c r="W6" s="3" t="s">
        <v>286</v>
      </c>
      <c r="X6" s="6">
        <v>9764.09</v>
      </c>
      <c r="Y6" s="5">
        <v>46073</v>
      </c>
      <c r="Z6" s="5">
        <v>46086</v>
      </c>
    </row>
    <row r="7" spans="1:26" ht="29" x14ac:dyDescent="0.35">
      <c r="A7" t="s">
        <v>50</v>
      </c>
      <c r="B7" t="str">
        <f t="shared" si="0"/>
        <v>ENG-4006</v>
      </c>
      <c r="C7" t="str">
        <f t="shared" si="2"/>
        <v>ENG-4006</v>
      </c>
      <c r="D7" t="str">
        <f t="shared" si="3"/>
        <v>ENG-4006</v>
      </c>
      <c r="E7" t="str">
        <f t="shared" si="4"/>
        <v>OK</v>
      </c>
      <c r="F7" t="s">
        <v>301</v>
      </c>
      <c r="G7" t="s">
        <v>51</v>
      </c>
      <c r="H7" s="2" t="str">
        <f t="shared" si="5"/>
        <v>RIVERBEND FINANCIAL GROUP</v>
      </c>
      <c r="I7" s="2" t="str">
        <f t="shared" si="8"/>
        <v>Riverbend Financial Group</v>
      </c>
      <c r="J7" s="2" t="str">
        <f t="shared" si="9"/>
        <v>Riverbend Financial Group</v>
      </c>
      <c r="K7" s="2" t="s">
        <v>175</v>
      </c>
      <c r="L7" t="s">
        <v>52</v>
      </c>
      <c r="M7" t="str">
        <f>CLEAN(PROPER(TRIM(L7)))</f>
        <v>Kyc Review</v>
      </c>
      <c r="N7" t="s">
        <v>274</v>
      </c>
      <c r="O7" t="s">
        <v>53</v>
      </c>
      <c r="P7" t="str">
        <f t="shared" si="6"/>
        <v>Kayla Brooks</v>
      </c>
      <c r="Q7" t="s">
        <v>158</v>
      </c>
      <c r="R7" t="s">
        <v>54</v>
      </c>
      <c r="S7" t="str">
        <f t="shared" si="7"/>
        <v>Under Review</v>
      </c>
      <c r="T7" t="s">
        <v>263</v>
      </c>
      <c r="U7" t="s">
        <v>47</v>
      </c>
      <c r="V7" s="3" t="s">
        <v>278</v>
      </c>
      <c r="W7" s="3" t="s">
        <v>286</v>
      </c>
      <c r="X7" s="6">
        <v>9041.7800000000007</v>
      </c>
      <c r="Y7" s="5">
        <v>46104</v>
      </c>
      <c r="Z7" s="5">
        <v>46142</v>
      </c>
    </row>
    <row r="8" spans="1:26" x14ac:dyDescent="0.35">
      <c r="A8" t="s">
        <v>58</v>
      </c>
      <c r="B8" t="str">
        <f t="shared" si="0"/>
        <v>ENG-4037</v>
      </c>
      <c r="C8" t="str">
        <f t="shared" si="2"/>
        <v>ENG-4037</v>
      </c>
      <c r="D8" t="str">
        <f t="shared" si="3"/>
        <v>ENG-4037</v>
      </c>
      <c r="E8" t="str">
        <f t="shared" si="4"/>
        <v>OK</v>
      </c>
      <c r="F8" t="s">
        <v>58</v>
      </c>
      <c r="G8" t="s">
        <v>59</v>
      </c>
      <c r="H8" s="2" t="str">
        <f t="shared" si="5"/>
        <v>Harborview National Bank</v>
      </c>
      <c r="I8" s="2" t="str">
        <f t="shared" si="8"/>
        <v>Harborview National Bank</v>
      </c>
      <c r="J8" s="2" t="str">
        <f t="shared" si="9"/>
        <v>Harborview National Bank</v>
      </c>
      <c r="K8" s="2" t="s">
        <v>21</v>
      </c>
      <c r="L8" t="s">
        <v>60</v>
      </c>
      <c r="M8" t="str">
        <f t="shared" ref="M8:M41" si="10">CLEAN(PROPER(TRIM(L8)))</f>
        <v>Kyc Review</v>
      </c>
      <c r="N8" t="s">
        <v>274</v>
      </c>
      <c r="O8" t="s">
        <v>61</v>
      </c>
      <c r="P8" t="str">
        <f t="shared" si="6"/>
        <v>Kayla Brooks</v>
      </c>
      <c r="Q8" t="s">
        <v>158</v>
      </c>
      <c r="R8" t="s">
        <v>62</v>
      </c>
      <c r="S8" t="str">
        <f t="shared" si="7"/>
        <v>Completed</v>
      </c>
      <c r="T8" t="s">
        <v>138</v>
      </c>
      <c r="U8" t="s">
        <v>63</v>
      </c>
      <c r="V8" s="3" t="s">
        <v>279</v>
      </c>
      <c r="W8" s="3" t="s">
        <v>287</v>
      </c>
      <c r="X8" s="6">
        <v>20568.669999999998</v>
      </c>
      <c r="Y8" s="5">
        <v>46061</v>
      </c>
      <c r="Z8" s="5">
        <v>46100</v>
      </c>
    </row>
    <row r="9" spans="1:26" x14ac:dyDescent="0.35">
      <c r="A9" t="s">
        <v>67</v>
      </c>
      <c r="B9" t="str">
        <f t="shared" si="0"/>
        <v>ENG-4038</v>
      </c>
      <c r="C9" t="str">
        <f t="shared" si="2"/>
        <v>ENG-4038</v>
      </c>
      <c r="D9" t="str">
        <f t="shared" si="3"/>
        <v>ENG-4038</v>
      </c>
      <c r="E9" t="str">
        <f t="shared" si="4"/>
        <v>OK</v>
      </c>
      <c r="F9" t="s">
        <v>67</v>
      </c>
      <c r="G9" t="s">
        <v>68</v>
      </c>
      <c r="H9" s="2" t="str">
        <f t="shared" si="5"/>
        <v>harborview national bank</v>
      </c>
      <c r="I9" s="2" t="str">
        <f t="shared" si="8"/>
        <v>Harborview National Bank</v>
      </c>
      <c r="J9" s="2" t="str">
        <f t="shared" si="9"/>
        <v>Harborview National Bank</v>
      </c>
      <c r="K9" s="2" t="s">
        <v>21</v>
      </c>
      <c r="L9" t="s">
        <v>69</v>
      </c>
      <c r="M9" t="str">
        <f t="shared" si="10"/>
        <v>Transaction Monitoring</v>
      </c>
      <c r="N9" t="s">
        <v>267</v>
      </c>
      <c r="O9" t="s">
        <v>70</v>
      </c>
      <c r="P9" t="str">
        <f t="shared" si="6"/>
        <v>Raj Patel</v>
      </c>
      <c r="Q9" t="s">
        <v>184</v>
      </c>
      <c r="R9" t="s">
        <v>71</v>
      </c>
      <c r="S9" t="str">
        <f t="shared" si="7"/>
        <v>Under Review</v>
      </c>
      <c r="T9" t="s">
        <v>263</v>
      </c>
      <c r="U9" t="s">
        <v>32</v>
      </c>
      <c r="V9" s="3" t="s">
        <v>276</v>
      </c>
      <c r="W9" s="3" t="s">
        <v>284</v>
      </c>
      <c r="X9" s="6">
        <v>21084.36</v>
      </c>
      <c r="Y9" s="5">
        <v>46138</v>
      </c>
      <c r="Z9" s="5">
        <v>46156</v>
      </c>
    </row>
    <row r="10" spans="1:26" x14ac:dyDescent="0.35">
      <c r="A10" t="s">
        <v>74</v>
      </c>
      <c r="B10" t="str">
        <f t="shared" si="0"/>
        <v>ENG_4012</v>
      </c>
      <c r="C10" t="str">
        <f t="shared" si="2"/>
        <v>ENG_4012</v>
      </c>
      <c r="D10" t="str">
        <f t="shared" si="3"/>
        <v>ENG-4012</v>
      </c>
      <c r="E10" t="str">
        <f t="shared" si="4"/>
        <v>OK</v>
      </c>
      <c r="F10" t="s">
        <v>302</v>
      </c>
      <c r="G10" t="s">
        <v>75</v>
      </c>
      <c r="H10" s="2" t="str">
        <f t="shared" si="5"/>
        <v>Meridian Community Bank</v>
      </c>
      <c r="I10" s="2" t="str">
        <f t="shared" si="8"/>
        <v>Meridian Community Bank</v>
      </c>
      <c r="J10" s="2" t="str">
        <f t="shared" si="9"/>
        <v>Meridian Community Bank</v>
      </c>
      <c r="K10" s="2" t="s">
        <v>253</v>
      </c>
      <c r="L10" t="s">
        <v>76</v>
      </c>
      <c r="M10" t="str">
        <f t="shared" si="10"/>
        <v>Sanctions Screening</v>
      </c>
      <c r="N10" t="s">
        <v>266</v>
      </c>
      <c r="P10" t="str">
        <f t="shared" si="6"/>
        <v/>
      </c>
      <c r="Q10" t="s">
        <v>257</v>
      </c>
      <c r="R10" t="s">
        <v>77</v>
      </c>
      <c r="S10" t="str">
        <f t="shared" si="7"/>
        <v>Under Review</v>
      </c>
      <c r="T10" t="s">
        <v>263</v>
      </c>
      <c r="U10" t="s">
        <v>78</v>
      </c>
      <c r="V10" s="3" t="s">
        <v>280</v>
      </c>
      <c r="W10" s="3" t="s">
        <v>288</v>
      </c>
      <c r="X10" s="6">
        <v>25568.85</v>
      </c>
      <c r="Y10" s="5">
        <v>46100</v>
      </c>
      <c r="Z10" s="5">
        <v>46134</v>
      </c>
    </row>
    <row r="11" spans="1:26" x14ac:dyDescent="0.35">
      <c r="A11" t="s">
        <v>80</v>
      </c>
      <c r="B11" t="str">
        <f t="shared" si="0"/>
        <v>eng-4018</v>
      </c>
      <c r="C11" t="str">
        <f t="shared" si="2"/>
        <v>ENG-4018</v>
      </c>
      <c r="D11" t="str">
        <f t="shared" si="3"/>
        <v>ENG-4018</v>
      </c>
      <c r="E11" t="str">
        <f t="shared" si="4"/>
        <v>OK</v>
      </c>
      <c r="F11" t="s">
        <v>303</v>
      </c>
      <c r="G11" t="s">
        <v>28</v>
      </c>
      <c r="H11" s="2" t="str">
        <f t="shared" si="5"/>
        <v>Cobalt Trust &amp; Savings</v>
      </c>
      <c r="I11" s="2" t="str">
        <f t="shared" si="8"/>
        <v>Cobalt Trust &amp; Savings</v>
      </c>
      <c r="J11" s="2" t="str">
        <f t="shared" si="9"/>
        <v>Cobalt Trust &amp; Savings</v>
      </c>
      <c r="K11" s="2" t="s">
        <v>252</v>
      </c>
      <c r="L11" t="s">
        <v>270</v>
      </c>
      <c r="M11" t="str">
        <f t="shared" si="10"/>
        <v>Aml Investigation</v>
      </c>
      <c r="N11" t="s">
        <v>128</v>
      </c>
      <c r="O11" t="s">
        <v>70</v>
      </c>
      <c r="P11" t="str">
        <f t="shared" si="6"/>
        <v>Raj Patel</v>
      </c>
      <c r="Q11" t="s">
        <v>184</v>
      </c>
      <c r="R11" t="s">
        <v>81</v>
      </c>
      <c r="S11" t="str">
        <f t="shared" si="7"/>
        <v>Not Started</v>
      </c>
      <c r="T11" t="s">
        <v>261</v>
      </c>
      <c r="U11" t="s">
        <v>40</v>
      </c>
      <c r="V11" s="3" t="s">
        <v>277</v>
      </c>
      <c r="W11" s="3" t="s">
        <v>285</v>
      </c>
      <c r="X11" s="6">
        <v>14954.42</v>
      </c>
      <c r="Y11" s="5">
        <v>46126</v>
      </c>
      <c r="Z11" s="5">
        <v>46136</v>
      </c>
    </row>
    <row r="12" spans="1:26" x14ac:dyDescent="0.35">
      <c r="A12" t="s">
        <v>85</v>
      </c>
      <c r="B12" t="str">
        <f t="shared" si="0"/>
        <v>ENG_4017</v>
      </c>
      <c r="C12" t="str">
        <f t="shared" si="2"/>
        <v>ENG_4017</v>
      </c>
      <c r="D12" t="str">
        <f t="shared" si="3"/>
        <v>ENG-4017</v>
      </c>
      <c r="E12" t="str">
        <f t="shared" si="4"/>
        <v>OK</v>
      </c>
      <c r="F12" t="s">
        <v>304</v>
      </c>
      <c r="G12" t="s">
        <v>86</v>
      </c>
      <c r="H12" s="2" t="str">
        <f t="shared" si="5"/>
        <v>Riverbend Financial Group</v>
      </c>
      <c r="I12" s="2" t="str">
        <f t="shared" si="8"/>
        <v>Riverbend Financial Group</v>
      </c>
      <c r="J12" s="2" t="str">
        <f t="shared" si="9"/>
        <v>Riverbend Financial Group</v>
      </c>
      <c r="K12" s="2" t="s">
        <v>175</v>
      </c>
      <c r="L12" t="s">
        <v>87</v>
      </c>
      <c r="M12" t="str">
        <f t="shared" si="10"/>
        <v>Sar Filing</v>
      </c>
      <c r="N12" t="s">
        <v>273</v>
      </c>
      <c r="O12" t="s">
        <v>30</v>
      </c>
      <c r="P12" t="str">
        <f t="shared" si="6"/>
        <v>Maya Chen</v>
      </c>
      <c r="Q12" t="s">
        <v>30</v>
      </c>
      <c r="R12" t="s">
        <v>88</v>
      </c>
      <c r="S12" t="str">
        <f t="shared" si="7"/>
        <v>On Hold</v>
      </c>
      <c r="T12" t="s">
        <v>264</v>
      </c>
      <c r="U12" t="s">
        <v>89</v>
      </c>
      <c r="V12" s="3" t="s">
        <v>281</v>
      </c>
      <c r="W12" s="3" t="s">
        <v>289</v>
      </c>
      <c r="X12" s="6">
        <v>22065.03</v>
      </c>
      <c r="Y12" s="5">
        <v>46074</v>
      </c>
      <c r="Z12" s="5">
        <v>46089</v>
      </c>
    </row>
    <row r="13" spans="1:26" x14ac:dyDescent="0.35">
      <c r="A13" t="s">
        <v>90</v>
      </c>
      <c r="B13" t="str">
        <f t="shared" si="0"/>
        <v>ENG-4014</v>
      </c>
      <c r="C13" t="str">
        <f t="shared" si="2"/>
        <v>ENG-4014</v>
      </c>
      <c r="D13" t="str">
        <f t="shared" si="3"/>
        <v>ENG-4014</v>
      </c>
      <c r="E13" t="str">
        <f t="shared" si="4"/>
        <v>OK</v>
      </c>
      <c r="F13" t="s">
        <v>90</v>
      </c>
      <c r="G13" t="s">
        <v>91</v>
      </c>
      <c r="H13" s="2" t="str">
        <f t="shared" si="5"/>
        <v>riverbend financial group</v>
      </c>
      <c r="I13" s="2" t="str">
        <f t="shared" si="8"/>
        <v>Riverbend Financial Group</v>
      </c>
      <c r="J13" s="2" t="str">
        <f t="shared" si="9"/>
        <v>Riverbend Financial Group</v>
      </c>
      <c r="K13" s="2" t="s">
        <v>175</v>
      </c>
      <c r="L13" t="s">
        <v>92</v>
      </c>
      <c r="M13" t="str">
        <f t="shared" si="10"/>
        <v>Sar Filing</v>
      </c>
      <c r="N13" t="s">
        <v>273</v>
      </c>
      <c r="O13" t="s">
        <v>93</v>
      </c>
      <c r="P13" t="str">
        <f t="shared" si="6"/>
        <v>Kayla Brooks</v>
      </c>
      <c r="Q13" t="s">
        <v>158</v>
      </c>
      <c r="R13" t="s">
        <v>54</v>
      </c>
      <c r="S13" t="str">
        <f t="shared" si="7"/>
        <v>Under Review</v>
      </c>
      <c r="T13" t="s">
        <v>263</v>
      </c>
      <c r="U13" t="s">
        <v>40</v>
      </c>
      <c r="V13" s="3" t="s">
        <v>277</v>
      </c>
      <c r="W13" s="3" t="s">
        <v>285</v>
      </c>
      <c r="X13" s="6">
        <v>23618.19</v>
      </c>
      <c r="Y13" s="5">
        <v>46070</v>
      </c>
      <c r="Z13" s="5">
        <v>46109</v>
      </c>
    </row>
    <row r="14" spans="1:26" x14ac:dyDescent="0.35">
      <c r="A14" t="s">
        <v>95</v>
      </c>
      <c r="B14" t="str">
        <f t="shared" si="0"/>
        <v>eng_4033</v>
      </c>
      <c r="C14" t="str">
        <f t="shared" si="2"/>
        <v>ENG_4033</v>
      </c>
      <c r="D14" t="str">
        <f t="shared" si="3"/>
        <v>ENG-4033</v>
      </c>
      <c r="E14" t="str">
        <f t="shared" si="4"/>
        <v>OK</v>
      </c>
      <c r="F14" t="s">
        <v>305</v>
      </c>
      <c r="G14" t="s">
        <v>28</v>
      </c>
      <c r="H14" s="2" t="str">
        <f t="shared" si="5"/>
        <v>Cobalt Trust &amp; Savings</v>
      </c>
      <c r="I14" s="2" t="str">
        <f t="shared" si="8"/>
        <v>Cobalt Trust &amp; Savings</v>
      </c>
      <c r="J14" s="2" t="str">
        <f t="shared" si="9"/>
        <v>Cobalt Trust &amp; Savings</v>
      </c>
      <c r="K14" s="2" t="s">
        <v>252</v>
      </c>
      <c r="L14" t="s">
        <v>96</v>
      </c>
      <c r="M14" t="str">
        <f t="shared" si="10"/>
        <v>Transaction Monitoring</v>
      </c>
      <c r="N14" t="s">
        <v>267</v>
      </c>
      <c r="O14" t="s">
        <v>97</v>
      </c>
      <c r="P14" t="str">
        <f t="shared" si="6"/>
        <v>Jordan Alvarez</v>
      </c>
      <c r="Q14" t="s">
        <v>258</v>
      </c>
      <c r="R14" t="s">
        <v>62</v>
      </c>
      <c r="S14" t="str">
        <f t="shared" si="7"/>
        <v>Completed</v>
      </c>
      <c r="T14" t="s">
        <v>138</v>
      </c>
      <c r="U14" t="s">
        <v>89</v>
      </c>
      <c r="V14" s="3" t="s">
        <v>281</v>
      </c>
      <c r="W14" s="3" t="s">
        <v>289</v>
      </c>
      <c r="X14" s="6">
        <v>9174.11</v>
      </c>
      <c r="Y14" s="5">
        <v>46064</v>
      </c>
      <c r="Z14" s="5">
        <v>46100</v>
      </c>
    </row>
    <row r="15" spans="1:26" x14ac:dyDescent="0.35">
      <c r="A15" t="s">
        <v>100</v>
      </c>
      <c r="B15" t="str">
        <f t="shared" si="0"/>
        <v>ENG-4040</v>
      </c>
      <c r="C15" t="str">
        <f t="shared" si="2"/>
        <v>ENG-4040</v>
      </c>
      <c r="D15" t="str">
        <f t="shared" si="3"/>
        <v>ENG-4040</v>
      </c>
      <c r="E15" t="str">
        <f t="shared" si="4"/>
        <v>OK</v>
      </c>
      <c r="F15" t="s">
        <v>100</v>
      </c>
      <c r="G15" t="s">
        <v>28</v>
      </c>
      <c r="H15" s="2" t="str">
        <f t="shared" si="5"/>
        <v>Cobalt Trust &amp; Savings</v>
      </c>
      <c r="I15" s="2" t="str">
        <f t="shared" si="8"/>
        <v>Cobalt Trust &amp; Savings</v>
      </c>
      <c r="J15" s="2" t="str">
        <f t="shared" si="9"/>
        <v>Cobalt Trust &amp; Savings</v>
      </c>
      <c r="K15" s="2" t="s">
        <v>252</v>
      </c>
      <c r="L15" t="s">
        <v>101</v>
      </c>
      <c r="M15" t="str">
        <f t="shared" si="10"/>
        <v>Kyc Review</v>
      </c>
      <c r="N15" t="s">
        <v>274</v>
      </c>
      <c r="O15" t="s">
        <v>93</v>
      </c>
      <c r="P15" t="str">
        <f t="shared" si="6"/>
        <v>Kayla Brooks</v>
      </c>
      <c r="Q15" t="s">
        <v>158</v>
      </c>
      <c r="R15" t="s">
        <v>102</v>
      </c>
      <c r="S15" t="str">
        <f t="shared" si="7"/>
        <v>Completed</v>
      </c>
      <c r="T15" t="s">
        <v>138</v>
      </c>
      <c r="U15" t="s">
        <v>16</v>
      </c>
      <c r="V15" s="3" t="s">
        <v>275</v>
      </c>
      <c r="W15" s="3" t="s">
        <v>283</v>
      </c>
      <c r="X15" s="6">
        <v>12467.91</v>
      </c>
      <c r="Y15" s="5">
        <v>46122</v>
      </c>
      <c r="Z15" s="5">
        <v>46138</v>
      </c>
    </row>
    <row r="16" spans="1:26" ht="29" x14ac:dyDescent="0.35">
      <c r="A16" t="s">
        <v>105</v>
      </c>
      <c r="B16" t="str">
        <f t="shared" si="0"/>
        <v>ENG-4036</v>
      </c>
      <c r="C16" t="str">
        <f t="shared" si="2"/>
        <v>ENG-4036</v>
      </c>
      <c r="D16" t="str">
        <f t="shared" si="3"/>
        <v>ENG-4036</v>
      </c>
      <c r="E16" t="str">
        <f t="shared" si="4"/>
        <v>OK</v>
      </c>
      <c r="F16" t="s">
        <v>306</v>
      </c>
      <c r="G16" t="s">
        <v>106</v>
      </c>
      <c r="H16" s="2" t="str">
        <f t="shared" si="5"/>
        <v>HARBORVIEW NATIONAL BANK</v>
      </c>
      <c r="I16" s="2" t="str">
        <f t="shared" si="8"/>
        <v>Harborview National Bank</v>
      </c>
      <c r="J16" s="2" t="str">
        <f t="shared" si="9"/>
        <v>Harborview National Bank</v>
      </c>
      <c r="K16" s="2" t="s">
        <v>21</v>
      </c>
      <c r="L16" t="s">
        <v>107</v>
      </c>
      <c r="M16" t="str">
        <f t="shared" si="10"/>
        <v>Compliance Audit</v>
      </c>
      <c r="N16" t="s">
        <v>268</v>
      </c>
      <c r="O16" t="s">
        <v>97</v>
      </c>
      <c r="P16" t="str">
        <f t="shared" si="6"/>
        <v>Jordan Alvarez</v>
      </c>
      <c r="Q16" t="s">
        <v>258</v>
      </c>
      <c r="R16" t="s">
        <v>108</v>
      </c>
      <c r="S16" t="str">
        <f t="shared" si="7"/>
        <v>Under Review</v>
      </c>
      <c r="T16" t="s">
        <v>263</v>
      </c>
      <c r="U16" t="s">
        <v>16</v>
      </c>
      <c r="V16" s="3" t="s">
        <v>275</v>
      </c>
      <c r="W16" s="3" t="s">
        <v>283</v>
      </c>
      <c r="X16" s="6">
        <v>21524.89</v>
      </c>
      <c r="Y16" s="5">
        <v>46164</v>
      </c>
      <c r="Z16" s="5">
        <v>46175</v>
      </c>
    </row>
    <row r="17" spans="1:26" x14ac:dyDescent="0.35">
      <c r="A17" t="s">
        <v>112</v>
      </c>
      <c r="B17" t="str">
        <f t="shared" si="0"/>
        <v>ENG-4030</v>
      </c>
      <c r="C17" t="str">
        <f t="shared" si="2"/>
        <v>ENG-4030</v>
      </c>
      <c r="D17" t="str">
        <f t="shared" si="3"/>
        <v>ENG-4030</v>
      </c>
      <c r="E17" t="str">
        <f t="shared" si="4"/>
        <v>OK</v>
      </c>
      <c r="F17" t="s">
        <v>112</v>
      </c>
      <c r="G17" t="s">
        <v>113</v>
      </c>
      <c r="H17" s="2" t="str">
        <f t="shared" si="5"/>
        <v>COBALT TRUST &amp; SAVINGS</v>
      </c>
      <c r="I17" s="2" t="str">
        <f t="shared" si="8"/>
        <v>Cobalt Trust &amp; Savings</v>
      </c>
      <c r="J17" s="2" t="str">
        <f t="shared" si="9"/>
        <v>Cobalt Trust &amp; Savings</v>
      </c>
      <c r="K17" s="2" t="s">
        <v>252</v>
      </c>
      <c r="L17" t="s">
        <v>114</v>
      </c>
      <c r="M17" t="str">
        <f t="shared" si="10"/>
        <v>Kyc Review</v>
      </c>
      <c r="N17" t="s">
        <v>274</v>
      </c>
      <c r="O17" t="s">
        <v>115</v>
      </c>
      <c r="P17" t="str">
        <f t="shared" si="6"/>
        <v>Jordan Alvarez</v>
      </c>
      <c r="Q17" t="s">
        <v>258</v>
      </c>
      <c r="R17" t="s">
        <v>116</v>
      </c>
      <c r="S17" t="str">
        <f t="shared" si="7"/>
        <v>Not Started</v>
      </c>
      <c r="T17" t="s">
        <v>261</v>
      </c>
      <c r="U17" t="s">
        <v>117</v>
      </c>
      <c r="V17" s="3" t="s">
        <v>282</v>
      </c>
      <c r="W17" s="3" t="s">
        <v>290</v>
      </c>
      <c r="X17" s="6">
        <v>18383.68</v>
      </c>
      <c r="Y17" s="5">
        <v>46068</v>
      </c>
      <c r="Z17" s="5">
        <v>46090</v>
      </c>
    </row>
    <row r="18" spans="1:26" ht="29" x14ac:dyDescent="0.35">
      <c r="A18" t="s">
        <v>119</v>
      </c>
      <c r="B18" t="str">
        <f t="shared" si="0"/>
        <v>ENG-4023</v>
      </c>
      <c r="C18" t="str">
        <f t="shared" si="2"/>
        <v>ENG-4023</v>
      </c>
      <c r="D18" t="str">
        <f t="shared" si="3"/>
        <v>ENG-4023</v>
      </c>
      <c r="E18" t="str">
        <f t="shared" si="4"/>
        <v>OK</v>
      </c>
      <c r="F18" t="s">
        <v>119</v>
      </c>
      <c r="G18" t="s">
        <v>120</v>
      </c>
      <c r="H18" s="2" t="str">
        <f t="shared" si="5"/>
        <v>RIVERBEND FINANCIAL GROUP</v>
      </c>
      <c r="I18" s="2" t="str">
        <f t="shared" si="8"/>
        <v>Riverbend Financial Group</v>
      </c>
      <c r="J18" s="2" t="str">
        <f t="shared" si="9"/>
        <v>Riverbend Financial Group</v>
      </c>
      <c r="K18" s="2" t="s">
        <v>175</v>
      </c>
      <c r="L18" t="s">
        <v>121</v>
      </c>
      <c r="M18" t="str">
        <f t="shared" si="10"/>
        <v>Transaction Monitoring</v>
      </c>
      <c r="N18" t="s">
        <v>267</v>
      </c>
      <c r="O18" t="s">
        <v>122</v>
      </c>
      <c r="P18" t="str">
        <f t="shared" si="6"/>
        <v>Jordan Alvarez</v>
      </c>
      <c r="Q18" t="s">
        <v>258</v>
      </c>
      <c r="R18" t="s">
        <v>123</v>
      </c>
      <c r="S18" t="str">
        <f t="shared" si="7"/>
        <v>On Hold</v>
      </c>
      <c r="T18" t="s">
        <v>264</v>
      </c>
      <c r="U18" t="s">
        <v>63</v>
      </c>
      <c r="V18" s="3" t="s">
        <v>279</v>
      </c>
      <c r="W18" s="3" t="s">
        <v>287</v>
      </c>
      <c r="X18" s="6">
        <v>3265.5</v>
      </c>
      <c r="Y18" s="5">
        <v>46165</v>
      </c>
      <c r="Z18" s="5">
        <v>46178</v>
      </c>
    </row>
    <row r="19" spans="1:26" x14ac:dyDescent="0.35">
      <c r="A19" t="s">
        <v>126</v>
      </c>
      <c r="B19" t="str">
        <f t="shared" si="0"/>
        <v>ENG_4034</v>
      </c>
      <c r="C19" t="str">
        <f t="shared" si="2"/>
        <v>ENG_4034</v>
      </c>
      <c r="D19" t="str">
        <f t="shared" si="3"/>
        <v>ENG-4034</v>
      </c>
      <c r="E19" t="str">
        <f t="shared" si="4"/>
        <v>OK</v>
      </c>
      <c r="F19" t="s">
        <v>307</v>
      </c>
      <c r="G19" t="s">
        <v>127</v>
      </c>
      <c r="H19" s="2" t="str">
        <f t="shared" si="5"/>
        <v>Meridian Community Bank</v>
      </c>
      <c r="I19" s="2" t="str">
        <f t="shared" si="8"/>
        <v>Meridian Community Bank</v>
      </c>
      <c r="J19" s="2" t="str">
        <f t="shared" si="9"/>
        <v>Meridian Community Bank</v>
      </c>
      <c r="K19" s="2" t="s">
        <v>253</v>
      </c>
      <c r="L19" t="s">
        <v>128</v>
      </c>
      <c r="M19" t="str">
        <f t="shared" si="10"/>
        <v>Aml Investigation</v>
      </c>
      <c r="N19" t="s">
        <v>128</v>
      </c>
      <c r="O19" t="s">
        <v>129</v>
      </c>
      <c r="P19" t="str">
        <f t="shared" si="6"/>
        <v>Trevor Nguyen</v>
      </c>
      <c r="Q19" t="s">
        <v>256</v>
      </c>
      <c r="R19" t="s">
        <v>130</v>
      </c>
      <c r="S19" t="str">
        <f t="shared" si="7"/>
        <v>On Hold</v>
      </c>
      <c r="T19" t="s">
        <v>264</v>
      </c>
      <c r="U19" t="s">
        <v>32</v>
      </c>
      <c r="V19" s="3" t="s">
        <v>276</v>
      </c>
      <c r="W19" s="3" t="s">
        <v>284</v>
      </c>
      <c r="X19" s="6">
        <v>25001.85</v>
      </c>
      <c r="Y19" s="5">
        <v>46145</v>
      </c>
      <c r="Z19" s="5">
        <v>46166</v>
      </c>
    </row>
    <row r="20" spans="1:26" x14ac:dyDescent="0.35">
      <c r="A20" t="s">
        <v>133</v>
      </c>
      <c r="B20" t="str">
        <f t="shared" si="0"/>
        <v>eng_4021</v>
      </c>
      <c r="C20" t="str">
        <f t="shared" si="2"/>
        <v>ENG_4021</v>
      </c>
      <c r="D20" t="str">
        <f t="shared" si="3"/>
        <v>ENG-4021</v>
      </c>
      <c r="E20" t="str">
        <f t="shared" si="4"/>
        <v>OK</v>
      </c>
      <c r="F20" t="s">
        <v>308</v>
      </c>
      <c r="G20" t="s">
        <v>86</v>
      </c>
      <c r="H20" s="2" t="str">
        <f t="shared" si="5"/>
        <v>Riverbend Financial Group</v>
      </c>
      <c r="I20" s="2" t="str">
        <f t="shared" si="8"/>
        <v>Riverbend Financial Group</v>
      </c>
      <c r="J20" s="2" t="str">
        <f t="shared" si="9"/>
        <v>Riverbend Financial Group</v>
      </c>
      <c r="K20" s="2" t="s">
        <v>175</v>
      </c>
      <c r="L20" t="s">
        <v>134</v>
      </c>
      <c r="M20" t="str">
        <f t="shared" si="10"/>
        <v>Transaction Monitoring</v>
      </c>
      <c r="N20" t="s">
        <v>267</v>
      </c>
      <c r="O20" t="s">
        <v>129</v>
      </c>
      <c r="P20" t="str">
        <f t="shared" si="6"/>
        <v>Trevor Nguyen</v>
      </c>
      <c r="Q20" t="s">
        <v>256</v>
      </c>
      <c r="R20" t="s">
        <v>62</v>
      </c>
      <c r="S20" t="str">
        <f t="shared" si="7"/>
        <v>Completed</v>
      </c>
      <c r="T20" t="s">
        <v>138</v>
      </c>
      <c r="U20" t="s">
        <v>47</v>
      </c>
      <c r="V20" s="3" t="s">
        <v>278</v>
      </c>
      <c r="W20" s="3" t="s">
        <v>286</v>
      </c>
      <c r="X20" s="6">
        <v>20133.509999999998</v>
      </c>
      <c r="Y20" s="5">
        <v>46104</v>
      </c>
      <c r="Z20" s="5">
        <v>46124</v>
      </c>
    </row>
    <row r="21" spans="1:26" x14ac:dyDescent="0.35">
      <c r="A21" t="s">
        <v>137</v>
      </c>
      <c r="B21" t="str">
        <f t="shared" si="0"/>
        <v>eng_4005</v>
      </c>
      <c r="C21" t="str">
        <f t="shared" si="2"/>
        <v>ENG_4005</v>
      </c>
      <c r="D21" t="str">
        <f t="shared" si="3"/>
        <v>ENG-4005</v>
      </c>
      <c r="E21" t="str">
        <f t="shared" si="4"/>
        <v>OK</v>
      </c>
      <c r="F21" t="s">
        <v>309</v>
      </c>
      <c r="G21" t="s">
        <v>28</v>
      </c>
      <c r="H21" s="2" t="str">
        <f t="shared" si="5"/>
        <v>Cobalt Trust &amp; Savings</v>
      </c>
      <c r="I21" s="2" t="str">
        <f t="shared" si="8"/>
        <v>Cobalt Trust &amp; Savings</v>
      </c>
      <c r="J21" s="2" t="str">
        <f t="shared" si="9"/>
        <v>Cobalt Trust &amp; Savings</v>
      </c>
      <c r="K21" s="2" t="s">
        <v>252</v>
      </c>
      <c r="L21" t="s">
        <v>69</v>
      </c>
      <c r="M21" t="str">
        <f t="shared" si="10"/>
        <v>Transaction Monitoring</v>
      </c>
      <c r="N21" t="s">
        <v>267</v>
      </c>
      <c r="O21" t="s">
        <v>14</v>
      </c>
      <c r="P21" t="str">
        <f t="shared" si="6"/>
        <v>Maya Chen</v>
      </c>
      <c r="Q21" t="s">
        <v>30</v>
      </c>
      <c r="R21" t="s">
        <v>138</v>
      </c>
      <c r="S21" t="str">
        <f t="shared" si="7"/>
        <v>Completed</v>
      </c>
      <c r="T21" t="s">
        <v>138</v>
      </c>
      <c r="U21" t="s">
        <v>16</v>
      </c>
      <c r="V21" s="3" t="s">
        <v>275</v>
      </c>
      <c r="W21" s="3" t="s">
        <v>283</v>
      </c>
      <c r="X21" s="6"/>
      <c r="Y21" s="5">
        <v>46140</v>
      </c>
      <c r="Z21" s="5">
        <v>46152</v>
      </c>
    </row>
    <row r="22" spans="1:26" x14ac:dyDescent="0.35">
      <c r="A22" t="s">
        <v>141</v>
      </c>
      <c r="B22" t="str">
        <f t="shared" si="0"/>
        <v>ENG_4024</v>
      </c>
      <c r="C22" t="str">
        <f t="shared" si="2"/>
        <v>ENG_4024</v>
      </c>
      <c r="D22" t="str">
        <f t="shared" si="3"/>
        <v>ENG-4024</v>
      </c>
      <c r="E22" t="str">
        <f t="shared" si="4"/>
        <v>OK</v>
      </c>
      <c r="F22" t="s">
        <v>310</v>
      </c>
      <c r="G22" t="s">
        <v>127</v>
      </c>
      <c r="H22" s="2" t="str">
        <f t="shared" si="5"/>
        <v>Meridian Community Bank</v>
      </c>
      <c r="I22" s="2" t="str">
        <f t="shared" si="8"/>
        <v>Meridian Community Bank</v>
      </c>
      <c r="J22" s="2" t="str">
        <f t="shared" si="9"/>
        <v>Meridian Community Bank</v>
      </c>
      <c r="K22" s="2" t="s">
        <v>253</v>
      </c>
      <c r="L22" t="s">
        <v>60</v>
      </c>
      <c r="M22" t="str">
        <f t="shared" si="10"/>
        <v>Kyc Review</v>
      </c>
      <c r="N22" t="s">
        <v>274</v>
      </c>
      <c r="O22" t="s">
        <v>142</v>
      </c>
      <c r="P22" t="str">
        <f t="shared" si="6"/>
        <v>Maya Chen</v>
      </c>
      <c r="Q22" t="s">
        <v>30</v>
      </c>
      <c r="R22" t="s">
        <v>143</v>
      </c>
      <c r="S22" t="str">
        <f t="shared" si="7"/>
        <v>In Progress</v>
      </c>
      <c r="T22" t="s">
        <v>262</v>
      </c>
      <c r="U22" t="s">
        <v>32</v>
      </c>
      <c r="V22" s="3" t="s">
        <v>276</v>
      </c>
      <c r="W22" s="3" t="s">
        <v>284</v>
      </c>
      <c r="X22" s="6">
        <v>18159.78</v>
      </c>
      <c r="Y22" s="5">
        <v>46122</v>
      </c>
      <c r="Z22" s="5">
        <v>46156</v>
      </c>
    </row>
    <row r="23" spans="1:26" x14ac:dyDescent="0.35">
      <c r="A23" t="s">
        <v>145</v>
      </c>
      <c r="B23" t="str">
        <f t="shared" si="0"/>
        <v>eng_4004</v>
      </c>
      <c r="C23" t="str">
        <f t="shared" si="2"/>
        <v>ENG_4004</v>
      </c>
      <c r="D23" t="str">
        <f t="shared" si="3"/>
        <v>ENG-4004</v>
      </c>
      <c r="E23" t="str">
        <f t="shared" si="4"/>
        <v>OK</v>
      </c>
      <c r="F23" t="s">
        <v>311</v>
      </c>
      <c r="G23" t="s">
        <v>59</v>
      </c>
      <c r="H23" s="2" t="str">
        <f t="shared" si="5"/>
        <v>Harborview National Bank</v>
      </c>
      <c r="I23" s="2" t="str">
        <f t="shared" si="8"/>
        <v>Harborview National Bank</v>
      </c>
      <c r="J23" s="2" t="str">
        <f t="shared" si="9"/>
        <v>Harborview National Bank</v>
      </c>
      <c r="K23" s="2" t="s">
        <v>21</v>
      </c>
      <c r="L23" t="s">
        <v>121</v>
      </c>
      <c r="M23" t="str">
        <f t="shared" si="10"/>
        <v>Transaction Monitoring</v>
      </c>
      <c r="N23" t="s">
        <v>267</v>
      </c>
      <c r="O23" t="s">
        <v>70</v>
      </c>
      <c r="P23" t="str">
        <f t="shared" si="6"/>
        <v>Raj Patel</v>
      </c>
      <c r="Q23" t="s">
        <v>184</v>
      </c>
      <c r="R23" t="s">
        <v>39</v>
      </c>
      <c r="S23" t="str">
        <f t="shared" si="7"/>
        <v>In Progress</v>
      </c>
      <c r="T23" t="s">
        <v>262</v>
      </c>
      <c r="U23" t="s">
        <v>117</v>
      </c>
      <c r="V23" s="3" t="s">
        <v>282</v>
      </c>
      <c r="W23" s="3" t="s">
        <v>290</v>
      </c>
      <c r="X23" s="6">
        <v>20023.349999999999</v>
      </c>
      <c r="Y23" s="5">
        <v>46086</v>
      </c>
      <c r="Z23" s="5">
        <v>46098</v>
      </c>
    </row>
    <row r="24" spans="1:26" x14ac:dyDescent="0.35">
      <c r="A24" t="s">
        <v>148</v>
      </c>
      <c r="B24" t="str">
        <f t="shared" si="0"/>
        <v>eng_4008</v>
      </c>
      <c r="C24" t="str">
        <f t="shared" si="2"/>
        <v>ENG_4008</v>
      </c>
      <c r="D24" t="str">
        <f t="shared" si="3"/>
        <v>ENG-4008</v>
      </c>
      <c r="E24" t="str">
        <f t="shared" si="4"/>
        <v>OK</v>
      </c>
      <c r="F24" t="s">
        <v>312</v>
      </c>
      <c r="G24" t="s">
        <v>149</v>
      </c>
      <c r="H24" s="2" t="str">
        <f t="shared" si="5"/>
        <v>cobalt trust &amp; savings</v>
      </c>
      <c r="I24" s="2" t="str">
        <f t="shared" si="8"/>
        <v>Cobalt Trust &amp; Savings</v>
      </c>
      <c r="J24" s="2" t="str">
        <f t="shared" si="9"/>
        <v>Cobalt Trust &amp; Savings</v>
      </c>
      <c r="K24" s="2" t="s">
        <v>252</v>
      </c>
      <c r="L24" t="s">
        <v>150</v>
      </c>
      <c r="M24" t="str">
        <f t="shared" si="10"/>
        <v>Kyc Review</v>
      </c>
      <c r="N24" t="s">
        <v>274</v>
      </c>
      <c r="O24" t="s">
        <v>151</v>
      </c>
      <c r="P24" t="str">
        <f t="shared" si="6"/>
        <v>Maya Chen</v>
      </c>
      <c r="Q24" t="s">
        <v>30</v>
      </c>
      <c r="R24" t="s">
        <v>39</v>
      </c>
      <c r="S24" t="str">
        <f t="shared" si="7"/>
        <v>In Progress</v>
      </c>
      <c r="T24" t="s">
        <v>262</v>
      </c>
      <c r="U24" t="s">
        <v>63</v>
      </c>
      <c r="V24" s="3" t="s">
        <v>279</v>
      </c>
      <c r="W24" s="3" t="s">
        <v>287</v>
      </c>
      <c r="X24" s="6">
        <v>18950.689999999999</v>
      </c>
      <c r="Y24" s="5">
        <v>46056</v>
      </c>
      <c r="Z24" s="5">
        <v>46081</v>
      </c>
    </row>
    <row r="25" spans="1:26" ht="29" x14ac:dyDescent="0.35">
      <c r="A25" t="s">
        <v>155</v>
      </c>
      <c r="B25" t="str">
        <f t="shared" si="0"/>
        <v>ENG-4003</v>
      </c>
      <c r="C25" t="str">
        <f t="shared" si="2"/>
        <v>ENG-4003</v>
      </c>
      <c r="D25" t="str">
        <f t="shared" si="3"/>
        <v>ENG-4003</v>
      </c>
      <c r="E25" t="str">
        <f t="shared" si="4"/>
        <v>OK</v>
      </c>
      <c r="F25" t="s">
        <v>313</v>
      </c>
      <c r="G25" t="s">
        <v>156</v>
      </c>
      <c r="H25" s="2" t="str">
        <f t="shared" si="5"/>
        <v>MERIDIAN COMMUNITY BANK</v>
      </c>
      <c r="I25" s="2" t="str">
        <f t="shared" si="8"/>
        <v>Meridian Community Bank</v>
      </c>
      <c r="J25" s="2" t="str">
        <f t="shared" si="9"/>
        <v>Meridian Community Bank</v>
      </c>
      <c r="K25" s="2" t="s">
        <v>253</v>
      </c>
      <c r="L25" t="s">
        <v>157</v>
      </c>
      <c r="M25" t="str">
        <f t="shared" si="10"/>
        <v>Compliance Audit</v>
      </c>
      <c r="N25" t="s">
        <v>268</v>
      </c>
      <c r="O25" t="s">
        <v>158</v>
      </c>
      <c r="P25" t="str">
        <f t="shared" si="6"/>
        <v>Kayla Brooks</v>
      </c>
      <c r="Q25" t="s">
        <v>158</v>
      </c>
      <c r="R25" t="s">
        <v>159</v>
      </c>
      <c r="S25" t="str">
        <f t="shared" si="7"/>
        <v>In Progress</v>
      </c>
      <c r="T25" t="s">
        <v>262</v>
      </c>
      <c r="U25" t="s">
        <v>40</v>
      </c>
      <c r="V25" s="3" t="s">
        <v>277</v>
      </c>
      <c r="W25" s="3" t="s">
        <v>285</v>
      </c>
      <c r="X25" s="6">
        <v>16912.400000000001</v>
      </c>
      <c r="Y25" s="5">
        <v>46136</v>
      </c>
      <c r="Z25" s="5">
        <v>46152</v>
      </c>
    </row>
    <row r="26" spans="1:26" x14ac:dyDescent="0.35">
      <c r="A26" t="s">
        <v>161</v>
      </c>
      <c r="B26" t="str">
        <f t="shared" si="0"/>
        <v>ENG_4015</v>
      </c>
      <c r="C26" t="str">
        <f t="shared" si="2"/>
        <v>ENG_4015</v>
      </c>
      <c r="D26" t="str">
        <f t="shared" si="3"/>
        <v>ENG-4015</v>
      </c>
      <c r="E26" t="str">
        <f t="shared" si="4"/>
        <v>OK</v>
      </c>
      <c r="F26" t="s">
        <v>314</v>
      </c>
      <c r="G26" t="s">
        <v>28</v>
      </c>
      <c r="H26" s="2" t="str">
        <f t="shared" si="5"/>
        <v>Cobalt Trust &amp; Savings</v>
      </c>
      <c r="I26" s="2" t="str">
        <f t="shared" si="8"/>
        <v>Cobalt Trust &amp; Savings</v>
      </c>
      <c r="J26" s="2" t="str">
        <f t="shared" si="9"/>
        <v>Cobalt Trust &amp; Savings</v>
      </c>
      <c r="K26" s="2" t="s">
        <v>252</v>
      </c>
      <c r="L26" t="s">
        <v>271</v>
      </c>
      <c r="M26" t="str">
        <f t="shared" si="10"/>
        <v>Aml Investigation</v>
      </c>
      <c r="N26" t="s">
        <v>128</v>
      </c>
      <c r="O26" t="s">
        <v>163</v>
      </c>
      <c r="P26" t="str">
        <f t="shared" si="6"/>
        <v>Maya Chen</v>
      </c>
      <c r="Q26" t="s">
        <v>30</v>
      </c>
      <c r="R26" t="s">
        <v>164</v>
      </c>
      <c r="S26" t="str">
        <f t="shared" si="7"/>
        <v>Not Started</v>
      </c>
      <c r="T26" t="s">
        <v>261</v>
      </c>
      <c r="U26" t="s">
        <v>117</v>
      </c>
      <c r="V26" s="3" t="s">
        <v>282</v>
      </c>
      <c r="W26" s="3" t="s">
        <v>290</v>
      </c>
      <c r="X26" s="6">
        <v>17156.53</v>
      </c>
      <c r="Y26" s="5">
        <v>46114</v>
      </c>
      <c r="Z26" s="5">
        <v>46149</v>
      </c>
    </row>
    <row r="27" spans="1:26" x14ac:dyDescent="0.35">
      <c r="A27" t="s">
        <v>167</v>
      </c>
      <c r="B27" t="str">
        <f t="shared" si="0"/>
        <v>ENG-4027</v>
      </c>
      <c r="C27" t="str">
        <f t="shared" si="2"/>
        <v>ENG-4027</v>
      </c>
      <c r="D27" t="str">
        <f t="shared" si="3"/>
        <v>ENG-4027</v>
      </c>
      <c r="E27" t="str">
        <f t="shared" si="4"/>
        <v>OK</v>
      </c>
      <c r="F27" t="s">
        <v>315</v>
      </c>
      <c r="G27" t="s">
        <v>168</v>
      </c>
      <c r="H27" s="2" t="str">
        <f t="shared" si="5"/>
        <v>Harborview National Bank</v>
      </c>
      <c r="I27" s="2" t="str">
        <f t="shared" si="8"/>
        <v>Harborview National Bank</v>
      </c>
      <c r="J27" s="2" t="str">
        <f t="shared" si="9"/>
        <v>Harborview National Bank</v>
      </c>
      <c r="K27" s="2" t="s">
        <v>21</v>
      </c>
      <c r="L27" t="s">
        <v>169</v>
      </c>
      <c r="M27" t="str">
        <f t="shared" si="10"/>
        <v>Aml Investigation</v>
      </c>
      <c r="N27" t="s">
        <v>128</v>
      </c>
      <c r="O27" t="s">
        <v>151</v>
      </c>
      <c r="P27" t="str">
        <f t="shared" si="6"/>
        <v>Maya Chen</v>
      </c>
      <c r="Q27" t="s">
        <v>30</v>
      </c>
      <c r="R27" t="s">
        <v>170</v>
      </c>
      <c r="S27" t="str">
        <f t="shared" si="7"/>
        <v>Under Review</v>
      </c>
      <c r="T27" t="s">
        <v>263</v>
      </c>
      <c r="U27" t="s">
        <v>47</v>
      </c>
      <c r="V27" s="3" t="s">
        <v>278</v>
      </c>
      <c r="W27" s="3" t="s">
        <v>286</v>
      </c>
      <c r="X27" s="6">
        <v>1596</v>
      </c>
      <c r="Y27" s="5">
        <v>46101</v>
      </c>
      <c r="Z27" s="5">
        <v>46141</v>
      </c>
    </row>
    <row r="28" spans="1:26" x14ac:dyDescent="0.35">
      <c r="A28" t="s">
        <v>174</v>
      </c>
      <c r="B28" t="str">
        <f t="shared" si="0"/>
        <v>ENG-4013</v>
      </c>
      <c r="C28" t="str">
        <f t="shared" si="2"/>
        <v>ENG-4013</v>
      </c>
      <c r="D28" t="str">
        <f t="shared" si="3"/>
        <v>ENG-4013</v>
      </c>
      <c r="E28" t="str">
        <f t="shared" si="4"/>
        <v>OK</v>
      </c>
      <c r="F28" t="s">
        <v>316</v>
      </c>
      <c r="G28" t="s">
        <v>175</v>
      </c>
      <c r="H28" s="2" t="str">
        <f t="shared" si="5"/>
        <v>Riverbend Financial Group</v>
      </c>
      <c r="I28" s="2" t="str">
        <f t="shared" si="8"/>
        <v>Riverbend Financial Group</v>
      </c>
      <c r="J28" s="2" t="str">
        <f t="shared" si="9"/>
        <v>Riverbend Financial Group</v>
      </c>
      <c r="K28" s="2" t="s">
        <v>175</v>
      </c>
      <c r="L28" t="s">
        <v>176</v>
      </c>
      <c r="M28" t="str">
        <f t="shared" si="10"/>
        <v>Transaction Monitoring</v>
      </c>
      <c r="N28" t="s">
        <v>267</v>
      </c>
      <c r="O28" t="s">
        <v>177</v>
      </c>
      <c r="P28" t="str">
        <f t="shared" si="6"/>
        <v>Sade Okafor</v>
      </c>
      <c r="Q28" t="s">
        <v>23</v>
      </c>
      <c r="R28" t="s">
        <v>170</v>
      </c>
      <c r="S28" t="str">
        <f t="shared" si="7"/>
        <v>Under Review</v>
      </c>
      <c r="T28" t="s">
        <v>263</v>
      </c>
      <c r="U28" t="s">
        <v>63</v>
      </c>
      <c r="V28" s="3" t="s">
        <v>279</v>
      </c>
      <c r="W28" s="3" t="s">
        <v>287</v>
      </c>
      <c r="X28" s="6">
        <v>19851.830000000002</v>
      </c>
      <c r="Y28" s="5">
        <v>46099</v>
      </c>
      <c r="Z28" s="5">
        <v>46123</v>
      </c>
    </row>
    <row r="29" spans="1:26" x14ac:dyDescent="0.35">
      <c r="A29" t="s">
        <v>181</v>
      </c>
      <c r="B29" t="str">
        <f t="shared" si="0"/>
        <v>ENG-4035</v>
      </c>
      <c r="C29" t="str">
        <f t="shared" si="2"/>
        <v>ENG-4035</v>
      </c>
      <c r="D29" t="str">
        <f t="shared" si="3"/>
        <v>ENG-4035</v>
      </c>
      <c r="E29" t="str">
        <f t="shared" si="4"/>
        <v>OK</v>
      </c>
      <c r="F29" t="s">
        <v>317</v>
      </c>
      <c r="G29" t="s">
        <v>182</v>
      </c>
      <c r="H29" s="2" t="str">
        <f t="shared" si="5"/>
        <v>Cobalt Trust &amp; Savings</v>
      </c>
      <c r="I29" s="2" t="str">
        <f t="shared" si="8"/>
        <v>Cobalt Trust &amp; Savings</v>
      </c>
      <c r="J29" s="2" t="str">
        <f t="shared" si="9"/>
        <v>Cobalt Trust &amp; Savings</v>
      </c>
      <c r="K29" s="2" t="s">
        <v>252</v>
      </c>
      <c r="L29" t="s">
        <v>183</v>
      </c>
      <c r="M29" t="str">
        <f t="shared" si="10"/>
        <v>Sar Filing</v>
      </c>
      <c r="N29" t="s">
        <v>273</v>
      </c>
      <c r="O29" t="s">
        <v>184</v>
      </c>
      <c r="P29" t="str">
        <f t="shared" si="6"/>
        <v>Raj Patel</v>
      </c>
      <c r="Q29" t="s">
        <v>184</v>
      </c>
      <c r="R29" t="s">
        <v>185</v>
      </c>
      <c r="S29" t="str">
        <f t="shared" si="7"/>
        <v>Completed</v>
      </c>
      <c r="T29" t="s">
        <v>138</v>
      </c>
      <c r="U29" t="s">
        <v>78</v>
      </c>
      <c r="V29" s="3" t="s">
        <v>280</v>
      </c>
      <c r="W29" s="3" t="s">
        <v>288</v>
      </c>
      <c r="X29" s="6">
        <v>4704.1000000000004</v>
      </c>
      <c r="Y29" s="5">
        <v>46097</v>
      </c>
      <c r="Z29" s="5">
        <v>46107</v>
      </c>
    </row>
    <row r="30" spans="1:26" ht="29" x14ac:dyDescent="0.35">
      <c r="A30" t="s">
        <v>188</v>
      </c>
      <c r="B30" t="str">
        <f t="shared" si="0"/>
        <v>eng_4001</v>
      </c>
      <c r="C30" t="str">
        <f t="shared" si="2"/>
        <v>ENG_4001</v>
      </c>
      <c r="D30" t="str">
        <f t="shared" si="3"/>
        <v>ENG-4001</v>
      </c>
      <c r="E30" t="str">
        <f t="shared" si="4"/>
        <v>OK</v>
      </c>
      <c r="F30" t="s">
        <v>318</v>
      </c>
      <c r="G30" t="s">
        <v>156</v>
      </c>
      <c r="H30" s="2" t="str">
        <f t="shared" si="5"/>
        <v>MERIDIAN COMMUNITY BANK</v>
      </c>
      <c r="I30" s="2" t="str">
        <f t="shared" si="8"/>
        <v>Meridian Community Bank</v>
      </c>
      <c r="J30" s="2" t="str">
        <f t="shared" si="9"/>
        <v>Meridian Community Bank</v>
      </c>
      <c r="K30" s="2" t="s">
        <v>253</v>
      </c>
      <c r="L30" t="s">
        <v>272</v>
      </c>
      <c r="M30" t="str">
        <f t="shared" si="10"/>
        <v>Aml Investigation</v>
      </c>
      <c r="N30" t="s">
        <v>128</v>
      </c>
      <c r="O30" t="s">
        <v>23</v>
      </c>
      <c r="P30" t="str">
        <f t="shared" si="6"/>
        <v>Sade Okafor</v>
      </c>
      <c r="Q30" t="s">
        <v>23</v>
      </c>
      <c r="R30" t="s">
        <v>190</v>
      </c>
      <c r="S30" t="str">
        <f t="shared" si="7"/>
        <v>Not Started</v>
      </c>
      <c r="T30" t="s">
        <v>261</v>
      </c>
      <c r="U30" t="s">
        <v>40</v>
      </c>
      <c r="V30" s="3" t="s">
        <v>277</v>
      </c>
      <c r="W30" s="3" t="s">
        <v>285</v>
      </c>
      <c r="X30" s="6">
        <v>23263.77</v>
      </c>
      <c r="Y30" s="5">
        <v>46067</v>
      </c>
      <c r="Z30" s="5">
        <v>46088</v>
      </c>
    </row>
    <row r="31" spans="1:26" ht="29" x14ac:dyDescent="0.35">
      <c r="A31" t="s">
        <v>193</v>
      </c>
      <c r="B31" t="str">
        <f t="shared" si="0"/>
        <v>ENG-4032</v>
      </c>
      <c r="C31" t="str">
        <f t="shared" si="2"/>
        <v>ENG-4032</v>
      </c>
      <c r="D31" t="str">
        <f t="shared" si="3"/>
        <v>ENG-4032</v>
      </c>
      <c r="E31" t="str">
        <f t="shared" si="4"/>
        <v>OK</v>
      </c>
      <c r="F31" t="s">
        <v>319</v>
      </c>
      <c r="G31" t="s">
        <v>194</v>
      </c>
      <c r="H31" s="2" t="str">
        <f t="shared" si="5"/>
        <v>MERIDIAN COMMUNITY BANK</v>
      </c>
      <c r="I31" s="2" t="str">
        <f t="shared" si="8"/>
        <v>Meridian Community Bank</v>
      </c>
      <c r="J31" s="2" t="str">
        <f t="shared" si="9"/>
        <v>Meridian Community Bank</v>
      </c>
      <c r="K31" s="2" t="s">
        <v>253</v>
      </c>
      <c r="L31" t="s">
        <v>121</v>
      </c>
      <c r="M31" t="str">
        <f t="shared" si="10"/>
        <v>Transaction Monitoring</v>
      </c>
      <c r="N31" t="s">
        <v>267</v>
      </c>
      <c r="O31" t="s">
        <v>53</v>
      </c>
      <c r="P31" t="str">
        <f t="shared" si="6"/>
        <v>Kayla Brooks</v>
      </c>
      <c r="Q31" t="s">
        <v>158</v>
      </c>
      <c r="R31" t="s">
        <v>108</v>
      </c>
      <c r="S31" t="str">
        <f t="shared" si="7"/>
        <v>Under Review</v>
      </c>
      <c r="T31" t="s">
        <v>263</v>
      </c>
      <c r="U31" t="s">
        <v>117</v>
      </c>
      <c r="V31" s="3" t="s">
        <v>282</v>
      </c>
      <c r="W31" s="3" t="s">
        <v>290</v>
      </c>
      <c r="X31" s="6">
        <v>1830.43</v>
      </c>
      <c r="Y31" s="5">
        <v>46062</v>
      </c>
      <c r="Z31" s="5">
        <v>46087</v>
      </c>
    </row>
    <row r="32" spans="1:26" x14ac:dyDescent="0.35">
      <c r="A32" t="s">
        <v>196</v>
      </c>
      <c r="B32" t="str">
        <f t="shared" si="0"/>
        <v>ENG-4031</v>
      </c>
      <c r="C32" t="str">
        <f t="shared" si="2"/>
        <v>ENG-4031</v>
      </c>
      <c r="D32" t="str">
        <f t="shared" si="3"/>
        <v>ENG-4031</v>
      </c>
      <c r="E32" t="str">
        <f t="shared" si="4"/>
        <v>OK</v>
      </c>
      <c r="F32" t="s">
        <v>196</v>
      </c>
      <c r="G32" t="s">
        <v>197</v>
      </c>
      <c r="H32" s="2" t="str">
        <f t="shared" si="5"/>
        <v>Harborview National Bank</v>
      </c>
      <c r="I32" s="2" t="str">
        <f t="shared" si="8"/>
        <v>Harborview National Bank</v>
      </c>
      <c r="J32" s="2" t="str">
        <f t="shared" si="9"/>
        <v>Harborview National Bank</v>
      </c>
      <c r="K32" s="2" t="s">
        <v>21</v>
      </c>
      <c r="L32" t="s">
        <v>198</v>
      </c>
      <c r="M32" t="str">
        <f t="shared" si="10"/>
        <v>Transaction Monitoring</v>
      </c>
      <c r="N32" t="s">
        <v>267</v>
      </c>
      <c r="O32" t="s">
        <v>115</v>
      </c>
      <c r="P32" t="str">
        <f t="shared" si="6"/>
        <v>Jordan Alvarez</v>
      </c>
      <c r="Q32" t="s">
        <v>258</v>
      </c>
      <c r="R32" t="s">
        <v>199</v>
      </c>
      <c r="S32" t="str">
        <f t="shared" si="7"/>
        <v>Under Review</v>
      </c>
      <c r="T32" t="s">
        <v>263</v>
      </c>
      <c r="U32" t="s">
        <v>63</v>
      </c>
      <c r="V32" s="3" t="s">
        <v>279</v>
      </c>
      <c r="W32" s="3" t="s">
        <v>287</v>
      </c>
      <c r="X32" s="6">
        <v>20827.38</v>
      </c>
      <c r="Y32" s="5">
        <v>46081</v>
      </c>
      <c r="Z32" s="5">
        <v>46098</v>
      </c>
    </row>
    <row r="33" spans="1:26" x14ac:dyDescent="0.35">
      <c r="A33" t="s">
        <v>202</v>
      </c>
      <c r="B33" t="str">
        <f t="shared" si="0"/>
        <v>ENG_4039</v>
      </c>
      <c r="C33" t="str">
        <f t="shared" si="2"/>
        <v>ENG_4039</v>
      </c>
      <c r="D33" t="str">
        <f t="shared" si="3"/>
        <v>ENG-4039</v>
      </c>
      <c r="E33" t="str">
        <f t="shared" si="4"/>
        <v>OK</v>
      </c>
      <c r="F33" t="s">
        <v>320</v>
      </c>
      <c r="G33" t="s">
        <v>203</v>
      </c>
      <c r="H33" s="2" t="str">
        <f t="shared" si="5"/>
        <v>harborview national bank</v>
      </c>
      <c r="I33" s="2" t="str">
        <f t="shared" si="8"/>
        <v>Harborview National Bank</v>
      </c>
      <c r="J33" s="2" t="str">
        <f t="shared" si="9"/>
        <v>Harborview National Bank</v>
      </c>
      <c r="K33" s="2" t="s">
        <v>21</v>
      </c>
      <c r="L33" t="s">
        <v>204</v>
      </c>
      <c r="M33" t="str">
        <f t="shared" si="10"/>
        <v>Compliance Audit</v>
      </c>
      <c r="N33" t="s">
        <v>268</v>
      </c>
      <c r="O33" t="s">
        <v>142</v>
      </c>
      <c r="P33" t="str">
        <f t="shared" si="6"/>
        <v>Maya Chen</v>
      </c>
      <c r="Q33" t="s">
        <v>30</v>
      </c>
      <c r="R33" t="s">
        <v>205</v>
      </c>
      <c r="S33" t="str">
        <f t="shared" si="7"/>
        <v>Completed</v>
      </c>
      <c r="T33" t="s">
        <v>138</v>
      </c>
      <c r="U33" t="s">
        <v>78</v>
      </c>
      <c r="V33" s="3" t="s">
        <v>280</v>
      </c>
      <c r="W33" s="3" t="s">
        <v>288</v>
      </c>
      <c r="X33" s="6">
        <v>27906.59</v>
      </c>
      <c r="Y33" s="5">
        <v>46112</v>
      </c>
      <c r="Z33" s="5">
        <v>46135</v>
      </c>
    </row>
    <row r="34" spans="1:26" x14ac:dyDescent="0.35">
      <c r="A34" t="s">
        <v>209</v>
      </c>
      <c r="B34" t="str">
        <f t="shared" si="0"/>
        <v>ENG-4009</v>
      </c>
      <c r="C34" t="str">
        <f t="shared" si="2"/>
        <v>ENG-4009</v>
      </c>
      <c r="D34" t="str">
        <f t="shared" si="3"/>
        <v>ENG-4009</v>
      </c>
      <c r="E34" t="str">
        <f t="shared" si="4"/>
        <v>OK</v>
      </c>
      <c r="F34" t="s">
        <v>209</v>
      </c>
      <c r="G34" t="s">
        <v>175</v>
      </c>
      <c r="H34" s="2" t="str">
        <f t="shared" si="5"/>
        <v>Riverbend Financial Group</v>
      </c>
      <c r="I34" s="2" t="str">
        <f t="shared" si="8"/>
        <v>Riverbend Financial Group</v>
      </c>
      <c r="J34" s="2" t="str">
        <f t="shared" si="9"/>
        <v>Riverbend Financial Group</v>
      </c>
      <c r="K34" s="2" t="s">
        <v>175</v>
      </c>
      <c r="L34" t="s">
        <v>210</v>
      </c>
      <c r="M34" t="str">
        <f t="shared" si="10"/>
        <v>Sar Filing</v>
      </c>
      <c r="N34" t="s">
        <v>273</v>
      </c>
      <c r="O34" t="s">
        <v>211</v>
      </c>
      <c r="P34" t="str">
        <f t="shared" si="6"/>
        <v>Kayla Brooks</v>
      </c>
      <c r="Q34" t="s">
        <v>158</v>
      </c>
      <c r="R34" t="s">
        <v>212</v>
      </c>
      <c r="S34" t="str">
        <f t="shared" si="7"/>
        <v>On Hold</v>
      </c>
      <c r="T34" t="s">
        <v>264</v>
      </c>
      <c r="U34" t="s">
        <v>16</v>
      </c>
      <c r="V34" s="3" t="s">
        <v>275</v>
      </c>
      <c r="W34" s="3" t="s">
        <v>283</v>
      </c>
      <c r="X34" s="6">
        <v>12048.85</v>
      </c>
      <c r="Y34" s="5">
        <v>46105</v>
      </c>
      <c r="Z34" s="5">
        <v>46118</v>
      </c>
    </row>
    <row r="35" spans="1:26" x14ac:dyDescent="0.35">
      <c r="A35" t="s">
        <v>215</v>
      </c>
      <c r="B35" t="str">
        <f t="shared" si="0"/>
        <v>eng-4002</v>
      </c>
      <c r="C35" t="str">
        <f t="shared" si="2"/>
        <v>ENG-4002</v>
      </c>
      <c r="D35" t="str">
        <f t="shared" si="3"/>
        <v>ENG-4002</v>
      </c>
      <c r="E35" t="str">
        <f t="shared" si="4"/>
        <v>OK</v>
      </c>
      <c r="F35" t="s">
        <v>321</v>
      </c>
      <c r="G35" t="s">
        <v>21</v>
      </c>
      <c r="H35" s="2" t="str">
        <f t="shared" si="5"/>
        <v>Harborview National Bank</v>
      </c>
      <c r="I35" s="2" t="str">
        <f t="shared" si="8"/>
        <v>Harborview National Bank</v>
      </c>
      <c r="J35" s="2" t="str">
        <f t="shared" si="9"/>
        <v>Harborview National Bank</v>
      </c>
      <c r="K35" s="2" t="s">
        <v>21</v>
      </c>
      <c r="L35" t="s">
        <v>216</v>
      </c>
      <c r="M35" t="str">
        <f t="shared" si="10"/>
        <v>Kyc Review</v>
      </c>
      <c r="N35" t="s">
        <v>274</v>
      </c>
      <c r="O35" t="s">
        <v>217</v>
      </c>
      <c r="P35" t="str">
        <f t="shared" si="6"/>
        <v>Trevor Nguyen</v>
      </c>
      <c r="Q35" t="s">
        <v>256</v>
      </c>
      <c r="R35" t="s">
        <v>24</v>
      </c>
      <c r="S35" t="str">
        <f t="shared" si="7"/>
        <v>Not Started</v>
      </c>
      <c r="T35" t="s">
        <v>261</v>
      </c>
      <c r="U35" t="s">
        <v>63</v>
      </c>
      <c r="V35" s="3" t="s">
        <v>279</v>
      </c>
      <c r="W35" s="3" t="s">
        <v>287</v>
      </c>
      <c r="X35" s="6">
        <v>18211.59</v>
      </c>
      <c r="Y35" s="5">
        <v>46129</v>
      </c>
      <c r="Z35" s="5">
        <v>46169</v>
      </c>
    </row>
    <row r="36" spans="1:26" x14ac:dyDescent="0.35">
      <c r="A36" t="s">
        <v>219</v>
      </c>
      <c r="B36" t="str">
        <f t="shared" si="0"/>
        <v>ENG_4020</v>
      </c>
      <c r="C36" t="str">
        <f t="shared" si="2"/>
        <v>ENG_4020</v>
      </c>
      <c r="D36" t="str">
        <f t="shared" si="3"/>
        <v>ENG-4020</v>
      </c>
      <c r="E36" t="str">
        <f t="shared" si="4"/>
        <v>OK</v>
      </c>
      <c r="F36" t="s">
        <v>322</v>
      </c>
      <c r="G36" t="s">
        <v>220</v>
      </c>
      <c r="H36" s="2" t="str">
        <f t="shared" si="5"/>
        <v>harborview national bank</v>
      </c>
      <c r="I36" s="2" t="str">
        <f t="shared" si="8"/>
        <v>Harborview National Bank</v>
      </c>
      <c r="J36" s="2" t="str">
        <f t="shared" si="9"/>
        <v>Harborview National Bank</v>
      </c>
      <c r="K36" s="2" t="s">
        <v>21</v>
      </c>
      <c r="L36" t="s">
        <v>221</v>
      </c>
      <c r="M36" t="str">
        <f t="shared" si="10"/>
        <v>Aml Investigation</v>
      </c>
      <c r="N36" t="s">
        <v>128</v>
      </c>
      <c r="O36" t="s">
        <v>61</v>
      </c>
      <c r="P36" t="str">
        <f t="shared" si="6"/>
        <v>Kayla Brooks</v>
      </c>
      <c r="Q36" t="s">
        <v>158</v>
      </c>
      <c r="R36" t="s">
        <v>24</v>
      </c>
      <c r="S36" t="str">
        <f t="shared" si="7"/>
        <v>Not Started</v>
      </c>
      <c r="T36" t="s">
        <v>261</v>
      </c>
      <c r="U36" t="s">
        <v>16</v>
      </c>
      <c r="V36" s="3" t="s">
        <v>275</v>
      </c>
      <c r="W36" s="3" t="s">
        <v>283</v>
      </c>
      <c r="X36" s="6">
        <v>24950.720000000001</v>
      </c>
      <c r="Y36" s="5">
        <v>46075</v>
      </c>
      <c r="Z36" s="5">
        <v>46106</v>
      </c>
    </row>
    <row r="37" spans="1:26" x14ac:dyDescent="0.35">
      <c r="A37" t="s">
        <v>224</v>
      </c>
      <c r="B37" t="str">
        <f t="shared" si="0"/>
        <v>eng-4028</v>
      </c>
      <c r="C37" t="str">
        <f t="shared" si="2"/>
        <v>ENG-4028</v>
      </c>
      <c r="D37" t="str">
        <f t="shared" si="3"/>
        <v>ENG-4028</v>
      </c>
      <c r="E37" t="str">
        <f t="shared" si="4"/>
        <v>OK</v>
      </c>
      <c r="F37" t="s">
        <v>323</v>
      </c>
      <c r="G37" t="s">
        <v>175</v>
      </c>
      <c r="H37" s="2" t="str">
        <f t="shared" si="5"/>
        <v>Riverbend Financial Group</v>
      </c>
      <c r="I37" s="2" t="str">
        <f t="shared" si="8"/>
        <v>Riverbend Financial Group</v>
      </c>
      <c r="J37" s="2" t="str">
        <f t="shared" si="9"/>
        <v>Riverbend Financial Group</v>
      </c>
      <c r="K37" s="2" t="s">
        <v>175</v>
      </c>
      <c r="L37" t="s">
        <v>92</v>
      </c>
      <c r="M37" t="str">
        <f t="shared" si="10"/>
        <v>Sar Filing</v>
      </c>
      <c r="N37" t="s">
        <v>273</v>
      </c>
      <c r="O37" t="s">
        <v>225</v>
      </c>
      <c r="P37" t="str">
        <f t="shared" si="6"/>
        <v>Raj Patel</v>
      </c>
      <c r="Q37" t="s">
        <v>184</v>
      </c>
      <c r="R37" t="s">
        <v>130</v>
      </c>
      <c r="S37" t="str">
        <f t="shared" si="7"/>
        <v>On Hold</v>
      </c>
      <c r="T37" t="s">
        <v>264</v>
      </c>
      <c r="U37" t="s">
        <v>63</v>
      </c>
      <c r="V37" s="3" t="s">
        <v>279</v>
      </c>
      <c r="W37" s="3" t="s">
        <v>287</v>
      </c>
      <c r="X37" s="6">
        <v>8076.75</v>
      </c>
      <c r="Y37" s="5">
        <v>46154</v>
      </c>
      <c r="Z37" s="5">
        <v>46164</v>
      </c>
    </row>
    <row r="38" spans="1:26" x14ac:dyDescent="0.35">
      <c r="A38" t="s">
        <v>229</v>
      </c>
      <c r="B38" t="str">
        <f t="shared" si="0"/>
        <v>eng_4029</v>
      </c>
      <c r="C38" t="str">
        <f t="shared" si="2"/>
        <v>ENG_4029</v>
      </c>
      <c r="D38" t="str">
        <f t="shared" si="3"/>
        <v>ENG-4029</v>
      </c>
      <c r="E38" t="str">
        <f t="shared" si="4"/>
        <v>OK</v>
      </c>
      <c r="F38" t="s">
        <v>324</v>
      </c>
      <c r="G38" t="s">
        <v>28</v>
      </c>
      <c r="H38" s="2" t="str">
        <f t="shared" si="5"/>
        <v>Cobalt Trust &amp; Savings</v>
      </c>
      <c r="I38" s="2" t="str">
        <f t="shared" si="8"/>
        <v>Cobalt Trust &amp; Savings</v>
      </c>
      <c r="J38" s="2" t="str">
        <f t="shared" si="9"/>
        <v>Cobalt Trust &amp; Savings</v>
      </c>
      <c r="K38" s="2" t="s">
        <v>252</v>
      </c>
      <c r="L38" t="s">
        <v>37</v>
      </c>
      <c r="M38" t="str">
        <f t="shared" si="10"/>
        <v>Kyc Review</v>
      </c>
      <c r="N38" t="s">
        <v>274</v>
      </c>
      <c r="O38" t="s">
        <v>38</v>
      </c>
      <c r="P38" t="str">
        <f t="shared" si="6"/>
        <v>Trevor Nguyen</v>
      </c>
      <c r="Q38" t="s">
        <v>256</v>
      </c>
      <c r="R38" t="s">
        <v>123</v>
      </c>
      <c r="S38" t="str">
        <f t="shared" si="7"/>
        <v>On Hold</v>
      </c>
      <c r="T38" t="s">
        <v>264</v>
      </c>
      <c r="U38" t="s">
        <v>117</v>
      </c>
      <c r="V38" s="3" t="s">
        <v>282</v>
      </c>
      <c r="W38" s="3" t="s">
        <v>290</v>
      </c>
      <c r="X38" s="6">
        <v>18924.91</v>
      </c>
      <c r="Y38" s="5">
        <v>46146</v>
      </c>
      <c r="Z38" s="5">
        <v>46181</v>
      </c>
    </row>
    <row r="39" spans="1:26" x14ac:dyDescent="0.35">
      <c r="A39" t="s">
        <v>231</v>
      </c>
      <c r="B39" t="str">
        <f t="shared" si="0"/>
        <v>ENG-4026</v>
      </c>
      <c r="C39" t="str">
        <f t="shared" si="2"/>
        <v>ENG-4026</v>
      </c>
      <c r="D39" t="str">
        <f t="shared" si="3"/>
        <v>ENG-4026</v>
      </c>
      <c r="E39" t="str">
        <f t="shared" si="4"/>
        <v>OK</v>
      </c>
      <c r="F39" t="s">
        <v>325</v>
      </c>
      <c r="G39" t="s">
        <v>168</v>
      </c>
      <c r="H39" s="2" t="str">
        <f t="shared" si="5"/>
        <v>Harborview National Bank</v>
      </c>
      <c r="I39" s="2" t="str">
        <f t="shared" si="8"/>
        <v>Harborview National Bank</v>
      </c>
      <c r="J39" s="2" t="str">
        <f t="shared" si="9"/>
        <v>Harborview National Bank</v>
      </c>
      <c r="K39" s="2" t="s">
        <v>21</v>
      </c>
      <c r="L39" t="s">
        <v>134</v>
      </c>
      <c r="M39" t="str">
        <f t="shared" si="10"/>
        <v>Transaction Monitoring</v>
      </c>
      <c r="N39" t="s">
        <v>267</v>
      </c>
      <c r="O39" t="s">
        <v>232</v>
      </c>
      <c r="P39" t="str">
        <f t="shared" si="6"/>
        <v>Jordan Alvarez</v>
      </c>
      <c r="Q39" t="s">
        <v>258</v>
      </c>
      <c r="R39" t="s">
        <v>39</v>
      </c>
      <c r="S39" t="str">
        <f t="shared" si="7"/>
        <v>In Progress</v>
      </c>
      <c r="T39" t="s">
        <v>262</v>
      </c>
      <c r="X39" s="6">
        <v>3374.15</v>
      </c>
      <c r="Y39" s="5">
        <v>46149</v>
      </c>
      <c r="Z39" s="5">
        <v>46187</v>
      </c>
    </row>
    <row r="40" spans="1:26" x14ac:dyDescent="0.35">
      <c r="A40" t="s">
        <v>235</v>
      </c>
      <c r="B40" t="str">
        <f t="shared" si="0"/>
        <v>ENG-4025</v>
      </c>
      <c r="C40" t="str">
        <f t="shared" si="2"/>
        <v>ENG-4025</v>
      </c>
      <c r="D40" t="str">
        <f t="shared" si="3"/>
        <v>ENG-4025</v>
      </c>
      <c r="E40" t="str">
        <f t="shared" si="4"/>
        <v>OK</v>
      </c>
      <c r="F40" t="s">
        <v>235</v>
      </c>
      <c r="G40" t="s">
        <v>236</v>
      </c>
      <c r="H40" s="2" t="str">
        <f t="shared" si="5"/>
        <v>Cobalt Trust &amp; Savings</v>
      </c>
      <c r="I40" s="2" t="str">
        <f t="shared" si="8"/>
        <v>Cobalt Trust &amp; Savings</v>
      </c>
      <c r="J40" s="2" t="str">
        <f t="shared" si="9"/>
        <v>Cobalt Trust &amp; Savings</v>
      </c>
      <c r="K40" s="2" t="s">
        <v>252</v>
      </c>
      <c r="L40" t="s">
        <v>237</v>
      </c>
      <c r="M40" t="str">
        <f t="shared" si="10"/>
        <v>Compliance Audit</v>
      </c>
      <c r="N40" t="s">
        <v>268</v>
      </c>
      <c r="O40" t="s">
        <v>238</v>
      </c>
      <c r="P40" t="str">
        <f t="shared" si="6"/>
        <v>Sade Okafor</v>
      </c>
      <c r="Q40" t="s">
        <v>23</v>
      </c>
      <c r="R40" t="s">
        <v>239</v>
      </c>
      <c r="S40" t="str">
        <f t="shared" si="7"/>
        <v>In Progress</v>
      </c>
      <c r="T40" t="s">
        <v>262</v>
      </c>
      <c r="U40" t="s">
        <v>47</v>
      </c>
      <c r="V40" s="3" t="s">
        <v>278</v>
      </c>
      <c r="W40" s="3" t="s">
        <v>286</v>
      </c>
      <c r="X40" s="6">
        <v>4316.46</v>
      </c>
      <c r="Y40" s="5">
        <v>46159</v>
      </c>
      <c r="Z40" s="5">
        <v>46189</v>
      </c>
    </row>
    <row r="41" spans="1:26" x14ac:dyDescent="0.35">
      <c r="A41" t="s">
        <v>243</v>
      </c>
      <c r="B41" t="str">
        <f t="shared" si="0"/>
        <v>eng_4016</v>
      </c>
      <c r="C41" t="str">
        <f t="shared" si="2"/>
        <v>ENG_4016</v>
      </c>
      <c r="D41" t="str">
        <f t="shared" si="3"/>
        <v>ENG-4016</v>
      </c>
      <c r="E41" t="str">
        <f t="shared" si="4"/>
        <v>OK</v>
      </c>
      <c r="F41" t="s">
        <v>326</v>
      </c>
      <c r="G41" t="s">
        <v>244</v>
      </c>
      <c r="H41" s="2" t="str">
        <f t="shared" si="5"/>
        <v>Harborview National Bank</v>
      </c>
      <c r="I41" s="2" t="str">
        <f t="shared" si="8"/>
        <v>Harborview National Bank</v>
      </c>
      <c r="J41" s="2" t="str">
        <f t="shared" si="9"/>
        <v>Harborview National Bank</v>
      </c>
      <c r="K41" s="2" t="s">
        <v>21</v>
      </c>
      <c r="L41" t="s">
        <v>245</v>
      </c>
      <c r="M41" t="str">
        <f t="shared" si="10"/>
        <v>Aml Investigation</v>
      </c>
      <c r="N41" t="s">
        <v>128</v>
      </c>
      <c r="O41" t="s">
        <v>30</v>
      </c>
      <c r="P41" t="str">
        <f t="shared" si="6"/>
        <v>Maya Chen</v>
      </c>
      <c r="Q41" t="s">
        <v>30</v>
      </c>
      <c r="R41" t="s">
        <v>190</v>
      </c>
      <c r="S41" t="str">
        <f t="shared" si="7"/>
        <v>Not Started</v>
      </c>
      <c r="T41" t="s">
        <v>261</v>
      </c>
      <c r="U41" t="s">
        <v>32</v>
      </c>
      <c r="V41" s="3" t="s">
        <v>276</v>
      </c>
      <c r="W41" s="3" t="s">
        <v>284</v>
      </c>
      <c r="X41" s="6">
        <v>7138.66</v>
      </c>
      <c r="Y41" s="5">
        <v>46119</v>
      </c>
      <c r="Z41" s="5">
        <v>46136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6D1F-66E7-4800-A02E-D54D7BDFFEDE}">
  <dimension ref="A1:J41"/>
  <sheetViews>
    <sheetView tabSelected="1" workbookViewId="0">
      <selection activeCell="N30" sqref="N30"/>
    </sheetView>
  </sheetViews>
  <sheetFormatPr defaultRowHeight="14.5" x14ac:dyDescent="0.35"/>
  <cols>
    <col min="1" max="1" width="17.36328125" customWidth="1"/>
    <col min="2" max="2" width="23.7265625" bestFit="1" customWidth="1"/>
    <col min="3" max="3" width="20.81640625" bestFit="1" customWidth="1"/>
    <col min="4" max="4" width="15.7265625" customWidth="1"/>
    <col min="5" max="5" width="12.90625" bestFit="1" customWidth="1"/>
    <col min="6" max="6" width="9.36328125" bestFit="1" customWidth="1"/>
    <col min="7" max="7" width="7.90625" customWidth="1"/>
    <col min="8" max="8" width="16.26953125" customWidth="1"/>
    <col min="9" max="9" width="12.54296875" customWidth="1"/>
    <col min="10" max="10" width="11.90625" customWidth="1"/>
  </cols>
  <sheetData>
    <row r="1" spans="1:10" ht="28.5" x14ac:dyDescent="0.35">
      <c r="A1" s="8" t="s">
        <v>327</v>
      </c>
      <c r="B1" s="8" t="s">
        <v>1</v>
      </c>
      <c r="C1" s="8" t="s">
        <v>328</v>
      </c>
      <c r="D1" s="8" t="s">
        <v>329</v>
      </c>
      <c r="E1" s="8" t="s">
        <v>4</v>
      </c>
      <c r="F1" s="9" t="s">
        <v>6</v>
      </c>
      <c r="G1" s="9" t="s">
        <v>7</v>
      </c>
      <c r="H1" s="9" t="s">
        <v>8</v>
      </c>
      <c r="I1" s="10" t="s">
        <v>9</v>
      </c>
      <c r="J1" s="10" t="s">
        <v>10</v>
      </c>
    </row>
    <row r="2" spans="1:10" x14ac:dyDescent="0.35">
      <c r="A2" t="s">
        <v>296</v>
      </c>
      <c r="B2" s="2" t="s">
        <v>251</v>
      </c>
      <c r="C2" t="s">
        <v>266</v>
      </c>
      <c r="D2" t="s">
        <v>30</v>
      </c>
      <c r="E2" t="s">
        <v>138</v>
      </c>
      <c r="F2" s="3" t="s">
        <v>275</v>
      </c>
      <c r="G2" s="3" t="s">
        <v>283</v>
      </c>
      <c r="H2" s="6">
        <v>25795.63</v>
      </c>
      <c r="I2" s="5">
        <v>46118</v>
      </c>
      <c r="J2" s="5">
        <v>46130</v>
      </c>
    </row>
    <row r="3" spans="1:10" x14ac:dyDescent="0.35">
      <c r="A3" t="s">
        <v>297</v>
      </c>
      <c r="B3" s="2" t="s">
        <v>21</v>
      </c>
      <c r="C3" t="s">
        <v>128</v>
      </c>
      <c r="D3" t="s">
        <v>23</v>
      </c>
      <c r="E3" t="s">
        <v>261</v>
      </c>
      <c r="F3" s="3" t="s">
        <v>275</v>
      </c>
      <c r="G3" s="3" t="s">
        <v>283</v>
      </c>
      <c r="H3" s="6">
        <v>13216.13</v>
      </c>
      <c r="I3" s="5"/>
      <c r="J3" s="5">
        <v>46095</v>
      </c>
    </row>
    <row r="4" spans="1:10" x14ac:dyDescent="0.35">
      <c r="A4" t="s">
        <v>298</v>
      </c>
      <c r="B4" s="2" t="s">
        <v>252</v>
      </c>
      <c r="C4" t="s">
        <v>267</v>
      </c>
      <c r="D4" t="s">
        <v>30</v>
      </c>
      <c r="E4" t="s">
        <v>138</v>
      </c>
      <c r="F4" s="3" t="s">
        <v>276</v>
      </c>
      <c r="G4" s="3" t="s">
        <v>284</v>
      </c>
      <c r="H4" s="6">
        <v>12257.62</v>
      </c>
      <c r="I4" s="5">
        <v>46123</v>
      </c>
      <c r="J4" s="5">
        <v>46162</v>
      </c>
    </row>
    <row r="5" spans="1:10" x14ac:dyDescent="0.35">
      <c r="A5" t="s">
        <v>299</v>
      </c>
      <c r="B5" s="2" t="s">
        <v>175</v>
      </c>
      <c r="C5" t="s">
        <v>274</v>
      </c>
      <c r="D5" t="s">
        <v>256</v>
      </c>
      <c r="E5" t="s">
        <v>262</v>
      </c>
      <c r="F5" s="3" t="s">
        <v>277</v>
      </c>
      <c r="G5" s="3" t="s">
        <v>285</v>
      </c>
      <c r="H5" s="6">
        <v>26647.14</v>
      </c>
      <c r="I5" s="5">
        <v>46133</v>
      </c>
      <c r="J5" s="5">
        <v>46143</v>
      </c>
    </row>
    <row r="6" spans="1:10" x14ac:dyDescent="0.35">
      <c r="A6" t="s">
        <v>300</v>
      </c>
      <c r="B6" s="2" t="s">
        <v>175</v>
      </c>
      <c r="C6" t="s">
        <v>273</v>
      </c>
      <c r="D6" t="s">
        <v>23</v>
      </c>
      <c r="E6" t="s">
        <v>138</v>
      </c>
      <c r="F6" s="3" t="s">
        <v>278</v>
      </c>
      <c r="G6" s="3" t="s">
        <v>286</v>
      </c>
      <c r="H6" s="6">
        <v>9764.09</v>
      </c>
      <c r="I6" s="5">
        <v>46073</v>
      </c>
      <c r="J6" s="5">
        <v>46086</v>
      </c>
    </row>
    <row r="7" spans="1:10" x14ac:dyDescent="0.35">
      <c r="A7" t="s">
        <v>301</v>
      </c>
      <c r="B7" s="2" t="s">
        <v>175</v>
      </c>
      <c r="C7" t="s">
        <v>274</v>
      </c>
      <c r="D7" t="s">
        <v>158</v>
      </c>
      <c r="E7" t="s">
        <v>263</v>
      </c>
      <c r="F7" s="3" t="s">
        <v>278</v>
      </c>
      <c r="G7" s="3" t="s">
        <v>286</v>
      </c>
      <c r="H7" s="6">
        <v>9041.7800000000007</v>
      </c>
      <c r="I7" s="5">
        <v>46104</v>
      </c>
      <c r="J7" s="5">
        <v>46142</v>
      </c>
    </row>
    <row r="8" spans="1:10" x14ac:dyDescent="0.35">
      <c r="A8" t="s">
        <v>58</v>
      </c>
      <c r="B8" s="2" t="s">
        <v>21</v>
      </c>
      <c r="C8" t="s">
        <v>274</v>
      </c>
      <c r="D8" t="s">
        <v>158</v>
      </c>
      <c r="E8" t="s">
        <v>138</v>
      </c>
      <c r="F8" s="3" t="s">
        <v>279</v>
      </c>
      <c r="G8" s="3" t="s">
        <v>287</v>
      </c>
      <c r="H8" s="6">
        <v>20568.669999999998</v>
      </c>
      <c r="I8" s="5">
        <v>46061</v>
      </c>
      <c r="J8" s="5">
        <v>46100</v>
      </c>
    </row>
    <row r="9" spans="1:10" x14ac:dyDescent="0.35">
      <c r="A9" t="s">
        <v>67</v>
      </c>
      <c r="B9" s="2" t="s">
        <v>21</v>
      </c>
      <c r="C9" t="s">
        <v>267</v>
      </c>
      <c r="D9" t="s">
        <v>184</v>
      </c>
      <c r="E9" t="s">
        <v>263</v>
      </c>
      <c r="F9" s="3" t="s">
        <v>276</v>
      </c>
      <c r="G9" s="3" t="s">
        <v>284</v>
      </c>
      <c r="H9" s="6">
        <v>21084.36</v>
      </c>
      <c r="I9" s="5">
        <v>46138</v>
      </c>
      <c r="J9" s="5">
        <v>46156</v>
      </c>
    </row>
    <row r="10" spans="1:10" x14ac:dyDescent="0.35">
      <c r="A10" t="s">
        <v>302</v>
      </c>
      <c r="B10" s="2" t="s">
        <v>253</v>
      </c>
      <c r="C10" t="s">
        <v>266</v>
      </c>
      <c r="D10" t="s">
        <v>257</v>
      </c>
      <c r="E10" t="s">
        <v>263</v>
      </c>
      <c r="F10" s="3" t="s">
        <v>280</v>
      </c>
      <c r="G10" s="3" t="s">
        <v>288</v>
      </c>
      <c r="H10" s="6">
        <v>25568.85</v>
      </c>
      <c r="I10" s="5">
        <v>46100</v>
      </c>
      <c r="J10" s="5">
        <v>46134</v>
      </c>
    </row>
    <row r="11" spans="1:10" x14ac:dyDescent="0.35">
      <c r="A11" t="s">
        <v>303</v>
      </c>
      <c r="B11" s="2" t="s">
        <v>252</v>
      </c>
      <c r="C11" t="s">
        <v>128</v>
      </c>
      <c r="D11" t="s">
        <v>184</v>
      </c>
      <c r="E11" t="s">
        <v>261</v>
      </c>
      <c r="F11" s="3" t="s">
        <v>277</v>
      </c>
      <c r="G11" s="3" t="s">
        <v>285</v>
      </c>
      <c r="H11" s="6">
        <v>14954.42</v>
      </c>
      <c r="I11" s="5">
        <v>46126</v>
      </c>
      <c r="J11" s="5">
        <v>46136</v>
      </c>
    </row>
    <row r="12" spans="1:10" x14ac:dyDescent="0.35">
      <c r="A12" t="s">
        <v>304</v>
      </c>
      <c r="B12" s="2" t="s">
        <v>175</v>
      </c>
      <c r="C12" t="s">
        <v>273</v>
      </c>
      <c r="D12" t="s">
        <v>30</v>
      </c>
      <c r="E12" t="s">
        <v>264</v>
      </c>
      <c r="F12" s="3" t="s">
        <v>281</v>
      </c>
      <c r="G12" s="3" t="s">
        <v>289</v>
      </c>
      <c r="H12" s="6">
        <v>22065.03</v>
      </c>
      <c r="I12" s="5">
        <v>46074</v>
      </c>
      <c r="J12" s="5">
        <v>46089</v>
      </c>
    </row>
    <row r="13" spans="1:10" x14ac:dyDescent="0.35">
      <c r="A13" t="s">
        <v>90</v>
      </c>
      <c r="B13" s="2" t="s">
        <v>175</v>
      </c>
      <c r="C13" t="s">
        <v>273</v>
      </c>
      <c r="D13" t="s">
        <v>158</v>
      </c>
      <c r="E13" t="s">
        <v>263</v>
      </c>
      <c r="F13" s="3" t="s">
        <v>277</v>
      </c>
      <c r="G13" s="3" t="s">
        <v>285</v>
      </c>
      <c r="H13" s="6">
        <v>23618.19</v>
      </c>
      <c r="I13" s="5">
        <v>46070</v>
      </c>
      <c r="J13" s="5">
        <v>46109</v>
      </c>
    </row>
    <row r="14" spans="1:10" x14ac:dyDescent="0.35">
      <c r="A14" t="s">
        <v>305</v>
      </c>
      <c r="B14" s="2" t="s">
        <v>252</v>
      </c>
      <c r="C14" t="s">
        <v>267</v>
      </c>
      <c r="D14" t="s">
        <v>258</v>
      </c>
      <c r="E14" t="s">
        <v>138</v>
      </c>
      <c r="F14" s="3" t="s">
        <v>281</v>
      </c>
      <c r="G14" s="3" t="s">
        <v>289</v>
      </c>
      <c r="H14" s="6">
        <v>9174.11</v>
      </c>
      <c r="I14" s="5">
        <v>46064</v>
      </c>
      <c r="J14" s="5">
        <v>46100</v>
      </c>
    </row>
    <row r="15" spans="1:10" x14ac:dyDescent="0.35">
      <c r="A15" t="s">
        <v>100</v>
      </c>
      <c r="B15" s="2" t="s">
        <v>252</v>
      </c>
      <c r="C15" t="s">
        <v>274</v>
      </c>
      <c r="D15" t="s">
        <v>158</v>
      </c>
      <c r="E15" t="s">
        <v>138</v>
      </c>
      <c r="F15" s="3" t="s">
        <v>275</v>
      </c>
      <c r="G15" s="3" t="s">
        <v>283</v>
      </c>
      <c r="H15" s="6">
        <v>12467.91</v>
      </c>
      <c r="I15" s="5">
        <v>46122</v>
      </c>
      <c r="J15" s="5">
        <v>46138</v>
      </c>
    </row>
    <row r="16" spans="1:10" x14ac:dyDescent="0.35">
      <c r="A16" t="s">
        <v>306</v>
      </c>
      <c r="B16" s="2" t="s">
        <v>21</v>
      </c>
      <c r="C16" t="s">
        <v>268</v>
      </c>
      <c r="D16" t="s">
        <v>258</v>
      </c>
      <c r="E16" t="s">
        <v>263</v>
      </c>
      <c r="F16" s="3" t="s">
        <v>275</v>
      </c>
      <c r="G16" s="3" t="s">
        <v>283</v>
      </c>
      <c r="H16" s="6">
        <v>21524.89</v>
      </c>
      <c r="I16" s="5">
        <v>46164</v>
      </c>
      <c r="J16" s="5">
        <v>46175</v>
      </c>
    </row>
    <row r="17" spans="1:10" x14ac:dyDescent="0.35">
      <c r="A17" t="s">
        <v>112</v>
      </c>
      <c r="B17" s="2" t="s">
        <v>252</v>
      </c>
      <c r="C17" t="s">
        <v>274</v>
      </c>
      <c r="D17" t="s">
        <v>258</v>
      </c>
      <c r="E17" t="s">
        <v>261</v>
      </c>
      <c r="F17" s="3" t="s">
        <v>282</v>
      </c>
      <c r="G17" s="3" t="s">
        <v>290</v>
      </c>
      <c r="H17" s="6">
        <v>18383.68</v>
      </c>
      <c r="I17" s="5">
        <v>46068</v>
      </c>
      <c r="J17" s="5">
        <v>46090</v>
      </c>
    </row>
    <row r="18" spans="1:10" x14ac:dyDescent="0.35">
      <c r="A18" t="s">
        <v>119</v>
      </c>
      <c r="B18" s="2" t="s">
        <v>175</v>
      </c>
      <c r="C18" t="s">
        <v>267</v>
      </c>
      <c r="D18" t="s">
        <v>258</v>
      </c>
      <c r="E18" t="s">
        <v>264</v>
      </c>
      <c r="F18" s="3" t="s">
        <v>279</v>
      </c>
      <c r="G18" s="3" t="s">
        <v>287</v>
      </c>
      <c r="H18" s="6">
        <v>3265.5</v>
      </c>
      <c r="I18" s="5">
        <v>46165</v>
      </c>
      <c r="J18" s="5">
        <v>46178</v>
      </c>
    </row>
    <row r="19" spans="1:10" x14ac:dyDescent="0.35">
      <c r="A19" t="s">
        <v>307</v>
      </c>
      <c r="B19" s="2" t="s">
        <v>253</v>
      </c>
      <c r="C19" t="s">
        <v>128</v>
      </c>
      <c r="D19" t="s">
        <v>256</v>
      </c>
      <c r="E19" t="s">
        <v>264</v>
      </c>
      <c r="F19" s="3" t="s">
        <v>276</v>
      </c>
      <c r="G19" s="3" t="s">
        <v>284</v>
      </c>
      <c r="H19" s="6">
        <v>25001.85</v>
      </c>
      <c r="I19" s="5">
        <v>46145</v>
      </c>
      <c r="J19" s="5">
        <v>46166</v>
      </c>
    </row>
    <row r="20" spans="1:10" x14ac:dyDescent="0.35">
      <c r="A20" t="s">
        <v>308</v>
      </c>
      <c r="B20" s="2" t="s">
        <v>175</v>
      </c>
      <c r="C20" t="s">
        <v>267</v>
      </c>
      <c r="D20" t="s">
        <v>256</v>
      </c>
      <c r="E20" t="s">
        <v>138</v>
      </c>
      <c r="F20" s="3" t="s">
        <v>278</v>
      </c>
      <c r="G20" s="3" t="s">
        <v>286</v>
      </c>
      <c r="H20" s="6">
        <v>20133.509999999998</v>
      </c>
      <c r="I20" s="5">
        <v>46104</v>
      </c>
      <c r="J20" s="5">
        <v>46124</v>
      </c>
    </row>
    <row r="21" spans="1:10" x14ac:dyDescent="0.35">
      <c r="A21" t="s">
        <v>309</v>
      </c>
      <c r="B21" s="2" t="s">
        <v>252</v>
      </c>
      <c r="C21" t="s">
        <v>267</v>
      </c>
      <c r="D21" t="s">
        <v>30</v>
      </c>
      <c r="E21" t="s">
        <v>138</v>
      </c>
      <c r="F21" s="3" t="s">
        <v>275</v>
      </c>
      <c r="G21" s="3" t="s">
        <v>283</v>
      </c>
      <c r="H21" s="6"/>
      <c r="I21" s="5">
        <v>46140</v>
      </c>
      <c r="J21" s="5">
        <v>46152</v>
      </c>
    </row>
    <row r="22" spans="1:10" x14ac:dyDescent="0.35">
      <c r="A22" t="s">
        <v>310</v>
      </c>
      <c r="B22" s="2" t="s">
        <v>253</v>
      </c>
      <c r="C22" t="s">
        <v>274</v>
      </c>
      <c r="D22" t="s">
        <v>30</v>
      </c>
      <c r="E22" t="s">
        <v>262</v>
      </c>
      <c r="F22" s="3" t="s">
        <v>276</v>
      </c>
      <c r="G22" s="3" t="s">
        <v>284</v>
      </c>
      <c r="H22" s="6">
        <v>18159.78</v>
      </c>
      <c r="I22" s="5">
        <v>46122</v>
      </c>
      <c r="J22" s="5">
        <v>46156</v>
      </c>
    </row>
    <row r="23" spans="1:10" x14ac:dyDescent="0.35">
      <c r="A23" t="s">
        <v>311</v>
      </c>
      <c r="B23" s="2" t="s">
        <v>21</v>
      </c>
      <c r="C23" t="s">
        <v>267</v>
      </c>
      <c r="D23" t="s">
        <v>184</v>
      </c>
      <c r="E23" t="s">
        <v>262</v>
      </c>
      <c r="F23" s="3" t="s">
        <v>282</v>
      </c>
      <c r="G23" s="3" t="s">
        <v>290</v>
      </c>
      <c r="H23" s="6">
        <v>20023.349999999999</v>
      </c>
      <c r="I23" s="5">
        <v>46086</v>
      </c>
      <c r="J23" s="5">
        <v>46098</v>
      </c>
    </row>
    <row r="24" spans="1:10" x14ac:dyDescent="0.35">
      <c r="A24" t="s">
        <v>312</v>
      </c>
      <c r="B24" s="2" t="s">
        <v>252</v>
      </c>
      <c r="C24" t="s">
        <v>274</v>
      </c>
      <c r="D24" t="s">
        <v>30</v>
      </c>
      <c r="E24" t="s">
        <v>262</v>
      </c>
      <c r="F24" s="3" t="s">
        <v>279</v>
      </c>
      <c r="G24" s="3" t="s">
        <v>287</v>
      </c>
      <c r="H24" s="6">
        <v>18950.689999999999</v>
      </c>
      <c r="I24" s="5">
        <v>46056</v>
      </c>
      <c r="J24" s="5">
        <v>46081</v>
      </c>
    </row>
    <row r="25" spans="1:10" x14ac:dyDescent="0.35">
      <c r="A25" t="s">
        <v>313</v>
      </c>
      <c r="B25" s="2" t="s">
        <v>253</v>
      </c>
      <c r="C25" t="s">
        <v>268</v>
      </c>
      <c r="D25" t="s">
        <v>158</v>
      </c>
      <c r="E25" t="s">
        <v>262</v>
      </c>
      <c r="F25" s="3" t="s">
        <v>277</v>
      </c>
      <c r="G25" s="3" t="s">
        <v>285</v>
      </c>
      <c r="H25" s="6">
        <v>16912.400000000001</v>
      </c>
      <c r="I25" s="5">
        <v>46136</v>
      </c>
      <c r="J25" s="5">
        <v>46152</v>
      </c>
    </row>
    <row r="26" spans="1:10" x14ac:dyDescent="0.35">
      <c r="A26" t="s">
        <v>314</v>
      </c>
      <c r="B26" s="2" t="s">
        <v>252</v>
      </c>
      <c r="C26" t="s">
        <v>128</v>
      </c>
      <c r="D26" t="s">
        <v>30</v>
      </c>
      <c r="E26" t="s">
        <v>261</v>
      </c>
      <c r="F26" s="3" t="s">
        <v>282</v>
      </c>
      <c r="G26" s="3" t="s">
        <v>290</v>
      </c>
      <c r="H26" s="6">
        <v>17156.53</v>
      </c>
      <c r="I26" s="5">
        <v>46114</v>
      </c>
      <c r="J26" s="5">
        <v>46149</v>
      </c>
    </row>
    <row r="27" spans="1:10" x14ac:dyDescent="0.35">
      <c r="A27" t="s">
        <v>315</v>
      </c>
      <c r="B27" s="2" t="s">
        <v>21</v>
      </c>
      <c r="C27" t="s">
        <v>128</v>
      </c>
      <c r="D27" t="s">
        <v>30</v>
      </c>
      <c r="E27" t="s">
        <v>263</v>
      </c>
      <c r="F27" s="3" t="s">
        <v>278</v>
      </c>
      <c r="G27" s="3" t="s">
        <v>286</v>
      </c>
      <c r="H27" s="6">
        <v>1596</v>
      </c>
      <c r="I27" s="5">
        <v>46101</v>
      </c>
      <c r="J27" s="5">
        <v>46141</v>
      </c>
    </row>
    <row r="28" spans="1:10" x14ac:dyDescent="0.35">
      <c r="A28" t="s">
        <v>316</v>
      </c>
      <c r="B28" s="2" t="s">
        <v>175</v>
      </c>
      <c r="C28" t="s">
        <v>267</v>
      </c>
      <c r="D28" t="s">
        <v>23</v>
      </c>
      <c r="E28" t="s">
        <v>263</v>
      </c>
      <c r="F28" s="3" t="s">
        <v>279</v>
      </c>
      <c r="G28" s="3" t="s">
        <v>287</v>
      </c>
      <c r="H28" s="6">
        <v>19851.830000000002</v>
      </c>
      <c r="I28" s="5">
        <v>46099</v>
      </c>
      <c r="J28" s="5">
        <v>46123</v>
      </c>
    </row>
    <row r="29" spans="1:10" x14ac:dyDescent="0.35">
      <c r="A29" t="s">
        <v>317</v>
      </c>
      <c r="B29" s="2" t="s">
        <v>252</v>
      </c>
      <c r="C29" t="s">
        <v>273</v>
      </c>
      <c r="D29" t="s">
        <v>184</v>
      </c>
      <c r="E29" t="s">
        <v>138</v>
      </c>
      <c r="F29" s="3" t="s">
        <v>280</v>
      </c>
      <c r="G29" s="3" t="s">
        <v>288</v>
      </c>
      <c r="H29" s="6">
        <v>4704.1000000000004</v>
      </c>
      <c r="I29" s="5">
        <v>46097</v>
      </c>
      <c r="J29" s="5">
        <v>46107</v>
      </c>
    </row>
    <row r="30" spans="1:10" x14ac:dyDescent="0.35">
      <c r="A30" t="s">
        <v>318</v>
      </c>
      <c r="B30" s="2" t="s">
        <v>253</v>
      </c>
      <c r="C30" t="s">
        <v>128</v>
      </c>
      <c r="D30" t="s">
        <v>23</v>
      </c>
      <c r="E30" t="s">
        <v>261</v>
      </c>
      <c r="F30" s="3" t="s">
        <v>277</v>
      </c>
      <c r="G30" s="3" t="s">
        <v>285</v>
      </c>
      <c r="H30" s="6">
        <v>23263.77</v>
      </c>
      <c r="I30" s="5">
        <v>46067</v>
      </c>
      <c r="J30" s="5">
        <v>46088</v>
      </c>
    </row>
    <row r="31" spans="1:10" x14ac:dyDescent="0.35">
      <c r="A31" t="s">
        <v>319</v>
      </c>
      <c r="B31" s="2" t="s">
        <v>253</v>
      </c>
      <c r="C31" t="s">
        <v>267</v>
      </c>
      <c r="D31" t="s">
        <v>158</v>
      </c>
      <c r="E31" t="s">
        <v>263</v>
      </c>
      <c r="F31" s="3" t="s">
        <v>282</v>
      </c>
      <c r="G31" s="3" t="s">
        <v>290</v>
      </c>
      <c r="H31" s="6">
        <v>1830.43</v>
      </c>
      <c r="I31" s="5">
        <v>46062</v>
      </c>
      <c r="J31" s="5">
        <v>46087</v>
      </c>
    </row>
    <row r="32" spans="1:10" x14ac:dyDescent="0.35">
      <c r="A32" t="s">
        <v>196</v>
      </c>
      <c r="B32" s="2" t="s">
        <v>21</v>
      </c>
      <c r="C32" t="s">
        <v>267</v>
      </c>
      <c r="D32" t="s">
        <v>258</v>
      </c>
      <c r="E32" t="s">
        <v>263</v>
      </c>
      <c r="F32" s="3" t="s">
        <v>279</v>
      </c>
      <c r="G32" s="3" t="s">
        <v>287</v>
      </c>
      <c r="H32" s="6">
        <v>20827.38</v>
      </c>
      <c r="I32" s="5">
        <v>46081</v>
      </c>
      <c r="J32" s="5">
        <v>46098</v>
      </c>
    </row>
    <row r="33" spans="1:10" x14ac:dyDescent="0.35">
      <c r="A33" t="s">
        <v>320</v>
      </c>
      <c r="B33" s="2" t="s">
        <v>21</v>
      </c>
      <c r="C33" t="s">
        <v>268</v>
      </c>
      <c r="D33" t="s">
        <v>30</v>
      </c>
      <c r="E33" t="s">
        <v>138</v>
      </c>
      <c r="F33" s="3" t="s">
        <v>280</v>
      </c>
      <c r="G33" s="3" t="s">
        <v>288</v>
      </c>
      <c r="H33" s="6">
        <v>27906.59</v>
      </c>
      <c r="I33" s="5">
        <v>46112</v>
      </c>
      <c r="J33" s="5">
        <v>46135</v>
      </c>
    </row>
    <row r="34" spans="1:10" x14ac:dyDescent="0.35">
      <c r="A34" t="s">
        <v>209</v>
      </c>
      <c r="B34" s="2" t="s">
        <v>175</v>
      </c>
      <c r="C34" t="s">
        <v>273</v>
      </c>
      <c r="D34" t="s">
        <v>158</v>
      </c>
      <c r="E34" t="s">
        <v>264</v>
      </c>
      <c r="F34" s="3" t="s">
        <v>275</v>
      </c>
      <c r="G34" s="3" t="s">
        <v>283</v>
      </c>
      <c r="H34" s="6">
        <v>12048.85</v>
      </c>
      <c r="I34" s="5">
        <v>46105</v>
      </c>
      <c r="J34" s="5">
        <v>46118</v>
      </c>
    </row>
    <row r="35" spans="1:10" x14ac:dyDescent="0.35">
      <c r="A35" t="s">
        <v>321</v>
      </c>
      <c r="B35" s="2" t="s">
        <v>21</v>
      </c>
      <c r="C35" t="s">
        <v>274</v>
      </c>
      <c r="D35" t="s">
        <v>256</v>
      </c>
      <c r="E35" t="s">
        <v>261</v>
      </c>
      <c r="F35" s="3" t="s">
        <v>279</v>
      </c>
      <c r="G35" s="3" t="s">
        <v>287</v>
      </c>
      <c r="H35" s="6">
        <v>18211.59</v>
      </c>
      <c r="I35" s="5">
        <v>46129</v>
      </c>
      <c r="J35" s="5">
        <v>46169</v>
      </c>
    </row>
    <row r="36" spans="1:10" x14ac:dyDescent="0.35">
      <c r="A36" t="s">
        <v>322</v>
      </c>
      <c r="B36" s="2" t="s">
        <v>21</v>
      </c>
      <c r="C36" t="s">
        <v>128</v>
      </c>
      <c r="D36" t="s">
        <v>158</v>
      </c>
      <c r="E36" t="s">
        <v>261</v>
      </c>
      <c r="F36" s="3" t="s">
        <v>275</v>
      </c>
      <c r="G36" s="3" t="s">
        <v>283</v>
      </c>
      <c r="H36" s="6">
        <v>24950.720000000001</v>
      </c>
      <c r="I36" s="5">
        <v>46075</v>
      </c>
      <c r="J36" s="5">
        <v>46106</v>
      </c>
    </row>
    <row r="37" spans="1:10" x14ac:dyDescent="0.35">
      <c r="A37" t="s">
        <v>323</v>
      </c>
      <c r="B37" s="2" t="s">
        <v>175</v>
      </c>
      <c r="C37" t="s">
        <v>273</v>
      </c>
      <c r="D37" t="s">
        <v>184</v>
      </c>
      <c r="E37" t="s">
        <v>264</v>
      </c>
      <c r="F37" s="3" t="s">
        <v>279</v>
      </c>
      <c r="G37" s="3" t="s">
        <v>287</v>
      </c>
      <c r="H37" s="6">
        <v>8076.75</v>
      </c>
      <c r="I37" s="5">
        <v>46154</v>
      </c>
      <c r="J37" s="5">
        <v>46164</v>
      </c>
    </row>
    <row r="38" spans="1:10" x14ac:dyDescent="0.35">
      <c r="A38" t="s">
        <v>324</v>
      </c>
      <c r="B38" s="2" t="s">
        <v>252</v>
      </c>
      <c r="C38" t="s">
        <v>274</v>
      </c>
      <c r="D38" t="s">
        <v>256</v>
      </c>
      <c r="E38" t="s">
        <v>264</v>
      </c>
      <c r="F38" s="3" t="s">
        <v>282</v>
      </c>
      <c r="G38" s="3" t="s">
        <v>290</v>
      </c>
      <c r="H38" s="6">
        <v>18924.91</v>
      </c>
      <c r="I38" s="5">
        <v>46146</v>
      </c>
      <c r="J38" s="5">
        <v>46181</v>
      </c>
    </row>
    <row r="39" spans="1:10" x14ac:dyDescent="0.35">
      <c r="A39" t="s">
        <v>325</v>
      </c>
      <c r="B39" s="2" t="s">
        <v>21</v>
      </c>
      <c r="C39" t="s">
        <v>267</v>
      </c>
      <c r="D39" t="s">
        <v>258</v>
      </c>
      <c r="E39" t="s">
        <v>262</v>
      </c>
      <c r="H39" s="6">
        <v>3374.15</v>
      </c>
      <c r="I39" s="5">
        <v>46149</v>
      </c>
      <c r="J39" s="5">
        <v>46187</v>
      </c>
    </row>
    <row r="40" spans="1:10" x14ac:dyDescent="0.35">
      <c r="A40" t="s">
        <v>235</v>
      </c>
      <c r="B40" s="2" t="s">
        <v>252</v>
      </c>
      <c r="C40" t="s">
        <v>268</v>
      </c>
      <c r="D40" t="s">
        <v>23</v>
      </c>
      <c r="E40" t="s">
        <v>262</v>
      </c>
      <c r="F40" s="3" t="s">
        <v>278</v>
      </c>
      <c r="G40" s="3" t="s">
        <v>286</v>
      </c>
      <c r="H40" s="6">
        <v>4316.46</v>
      </c>
      <c r="I40" s="5">
        <v>46159</v>
      </c>
      <c r="J40" s="5">
        <v>46189</v>
      </c>
    </row>
    <row r="41" spans="1:10" x14ac:dyDescent="0.35">
      <c r="A41" t="s">
        <v>326</v>
      </c>
      <c r="B41" s="2" t="s">
        <v>21</v>
      </c>
      <c r="C41" t="s">
        <v>128</v>
      </c>
      <c r="D41" t="s">
        <v>30</v>
      </c>
      <c r="E41" t="s">
        <v>261</v>
      </c>
      <c r="F41" s="3" t="s">
        <v>276</v>
      </c>
      <c r="G41" s="3" t="s">
        <v>284</v>
      </c>
      <c r="H41" s="6">
        <v>7138.66</v>
      </c>
      <c r="I41" s="5">
        <v>46119</v>
      </c>
      <c r="J41" s="5">
        <v>46136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Export</vt:lpstr>
      <vt:lpstr>Working</vt:lpstr>
      <vt:lpstr>Finalized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Bryan Serfozo</cp:lastModifiedBy>
  <cp:revision>0</cp:revision>
  <dcterms:created xsi:type="dcterms:W3CDTF">2026-09-15T22:38:17Z</dcterms:created>
  <dcterms:modified xsi:type="dcterms:W3CDTF">2026-09-16T16:07:47Z</dcterms:modified>
  <dc:language>en-US</dc:language>
</cp:coreProperties>
</file>