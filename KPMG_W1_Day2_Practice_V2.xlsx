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ownloads/Revature_OperationalAnalyst_Training_Sep2026-main/Week1-Day1-Excel Foundations/"/>
    </mc:Choice>
  </mc:AlternateContent>
  <xr:revisionPtr revIDLastSave="0" documentId="13_ncr:1_{A610870D-4FB2-524A-A8FF-4F1C988BD255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Cleaned_Data-Practice" sheetId="6" r:id="rId1"/>
    <sheet name="Address Effect" sheetId="10" r:id="rId2"/>
    <sheet name="Instructions" sheetId="1" r:id="rId3"/>
    <sheet name="Raw_Data (2)" sheetId="11" r:id="rId4"/>
    <sheet name="Sheet1" sheetId="12" r:id="rId5"/>
    <sheet name="Raw_Data" sheetId="2" r:id="rId6"/>
    <sheet name="Cleaned_Data" sheetId="3" r:id="rId7"/>
    <sheet name="Sorting_Lab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1" i="12" l="1"/>
  <c r="I31" i="12"/>
  <c r="H31" i="12"/>
  <c r="G31" i="12"/>
  <c r="F31" i="12"/>
  <c r="E31" i="12"/>
  <c r="D31" i="12"/>
  <c r="C31" i="12"/>
  <c r="B31" i="12"/>
  <c r="A31" i="12"/>
  <c r="J30" i="12"/>
  <c r="I30" i="12"/>
  <c r="H30" i="12"/>
  <c r="G30" i="12"/>
  <c r="F30" i="12"/>
  <c r="E30" i="12"/>
  <c r="D30" i="12"/>
  <c r="C30" i="12"/>
  <c r="B30" i="12"/>
  <c r="A30" i="12"/>
  <c r="J29" i="12"/>
  <c r="I29" i="12"/>
  <c r="X29" i="12" s="1"/>
  <c r="H29" i="12"/>
  <c r="G29" i="12"/>
  <c r="F29" i="12"/>
  <c r="E29" i="12"/>
  <c r="D29" i="12"/>
  <c r="C29" i="12"/>
  <c r="B29" i="12"/>
  <c r="A29" i="12"/>
  <c r="J28" i="12"/>
  <c r="I28" i="12"/>
  <c r="H28" i="12"/>
  <c r="G28" i="12"/>
  <c r="F28" i="12"/>
  <c r="E28" i="12"/>
  <c r="D28" i="12"/>
  <c r="C28" i="12"/>
  <c r="B28" i="12"/>
  <c r="A28" i="12"/>
  <c r="J27" i="12"/>
  <c r="I27" i="12"/>
  <c r="H27" i="12"/>
  <c r="G27" i="12"/>
  <c r="F27" i="12"/>
  <c r="E27" i="12"/>
  <c r="D27" i="12"/>
  <c r="C27" i="12"/>
  <c r="B27" i="12"/>
  <c r="A27" i="12"/>
  <c r="J26" i="12"/>
  <c r="I26" i="12"/>
  <c r="X26" i="12" s="1"/>
  <c r="H26" i="12"/>
  <c r="G26" i="12"/>
  <c r="F26" i="12"/>
  <c r="E26" i="12"/>
  <c r="D26" i="12"/>
  <c r="C26" i="12"/>
  <c r="B26" i="12"/>
  <c r="A26" i="12"/>
  <c r="J25" i="12"/>
  <c r="I25" i="12"/>
  <c r="H25" i="12"/>
  <c r="G25" i="12"/>
  <c r="F25" i="12"/>
  <c r="E25" i="12"/>
  <c r="D25" i="12"/>
  <c r="C25" i="12"/>
  <c r="B25" i="12"/>
  <c r="A25" i="12"/>
  <c r="J24" i="12"/>
  <c r="I24" i="12"/>
  <c r="H24" i="12"/>
  <c r="G24" i="12"/>
  <c r="F24" i="12"/>
  <c r="E24" i="12"/>
  <c r="D24" i="12"/>
  <c r="C24" i="12"/>
  <c r="B24" i="12"/>
  <c r="A24" i="12"/>
  <c r="J23" i="12"/>
  <c r="I23" i="12"/>
  <c r="X23" i="12" s="1"/>
  <c r="H23" i="12"/>
  <c r="G23" i="12"/>
  <c r="F23" i="12"/>
  <c r="E23" i="12"/>
  <c r="D23" i="12"/>
  <c r="C23" i="12"/>
  <c r="B23" i="12"/>
  <c r="A23" i="12"/>
  <c r="J22" i="12"/>
  <c r="I22" i="12"/>
  <c r="H22" i="12"/>
  <c r="G22" i="12"/>
  <c r="F22" i="12"/>
  <c r="E22" i="12"/>
  <c r="D22" i="12"/>
  <c r="C22" i="12"/>
  <c r="B22" i="12"/>
  <c r="A22" i="12"/>
  <c r="J21" i="12"/>
  <c r="I21" i="12"/>
  <c r="H21" i="12"/>
  <c r="G21" i="12"/>
  <c r="F21" i="12"/>
  <c r="E21" i="12"/>
  <c r="D21" i="12"/>
  <c r="C21" i="12"/>
  <c r="B21" i="12"/>
  <c r="A21" i="12"/>
  <c r="J20" i="12"/>
  <c r="I20" i="12"/>
  <c r="AA20" i="12" s="1"/>
  <c r="H20" i="12"/>
  <c r="G20" i="12"/>
  <c r="F20" i="12"/>
  <c r="E20" i="12"/>
  <c r="D20" i="12"/>
  <c r="C20" i="12"/>
  <c r="B20" i="12"/>
  <c r="A20" i="12"/>
  <c r="J19" i="12"/>
  <c r="I19" i="12"/>
  <c r="H19" i="12"/>
  <c r="G19" i="12"/>
  <c r="F19" i="12"/>
  <c r="E19" i="12"/>
  <c r="D19" i="12"/>
  <c r="C19" i="12"/>
  <c r="B19" i="12"/>
  <c r="A19" i="12"/>
  <c r="J18" i="12"/>
  <c r="I18" i="12"/>
  <c r="H18" i="12"/>
  <c r="G18" i="12"/>
  <c r="F18" i="12"/>
  <c r="E18" i="12"/>
  <c r="D18" i="12"/>
  <c r="C18" i="12"/>
  <c r="B18" i="12"/>
  <c r="A18" i="12"/>
  <c r="J17" i="12"/>
  <c r="I17" i="12"/>
  <c r="H17" i="12"/>
  <c r="G17" i="12"/>
  <c r="F17" i="12"/>
  <c r="E17" i="12"/>
  <c r="D17" i="12"/>
  <c r="C17" i="12"/>
  <c r="B17" i="12"/>
  <c r="A17" i="12"/>
  <c r="J16" i="12"/>
  <c r="I16" i="12"/>
  <c r="H16" i="12"/>
  <c r="G16" i="12"/>
  <c r="F16" i="12"/>
  <c r="E16" i="12"/>
  <c r="D16" i="12"/>
  <c r="C16" i="12"/>
  <c r="B16" i="12"/>
  <c r="A16" i="12"/>
  <c r="J15" i="12"/>
  <c r="I15" i="12"/>
  <c r="X15" i="12" s="1"/>
  <c r="H15" i="12"/>
  <c r="G15" i="12"/>
  <c r="F15" i="12"/>
  <c r="E15" i="12"/>
  <c r="D15" i="12"/>
  <c r="C15" i="12"/>
  <c r="B15" i="12"/>
  <c r="A15" i="12"/>
  <c r="J14" i="12"/>
  <c r="I14" i="12"/>
  <c r="H14" i="12"/>
  <c r="G14" i="12"/>
  <c r="F14" i="12"/>
  <c r="E14" i="12"/>
  <c r="D14" i="12"/>
  <c r="C14" i="12"/>
  <c r="B14" i="12"/>
  <c r="A14" i="12"/>
  <c r="J13" i="12"/>
  <c r="I13" i="12"/>
  <c r="H13" i="12"/>
  <c r="G13" i="12"/>
  <c r="F13" i="12"/>
  <c r="E13" i="12"/>
  <c r="D13" i="12"/>
  <c r="C13" i="12"/>
  <c r="B13" i="12"/>
  <c r="A13" i="12"/>
  <c r="J12" i="12"/>
  <c r="I12" i="12"/>
  <c r="AA12" i="12" s="1"/>
  <c r="H12" i="12"/>
  <c r="G12" i="12"/>
  <c r="F12" i="12"/>
  <c r="E12" i="12"/>
  <c r="D12" i="12"/>
  <c r="C12" i="12"/>
  <c r="B12" i="12"/>
  <c r="A12" i="12"/>
  <c r="J11" i="12"/>
  <c r="I11" i="12"/>
  <c r="H11" i="12"/>
  <c r="G11" i="12"/>
  <c r="F11" i="12"/>
  <c r="E11" i="12"/>
  <c r="D11" i="12"/>
  <c r="C11" i="12"/>
  <c r="B11" i="12"/>
  <c r="A11" i="12"/>
  <c r="J10" i="12"/>
  <c r="I10" i="12"/>
  <c r="H10" i="12"/>
  <c r="G10" i="12"/>
  <c r="F10" i="12"/>
  <c r="Q2" i="12" s="1"/>
  <c r="E10" i="12"/>
  <c r="D10" i="12"/>
  <c r="C10" i="12"/>
  <c r="B10" i="12"/>
  <c r="A10" i="12"/>
  <c r="J9" i="12"/>
  <c r="I9" i="12"/>
  <c r="H9" i="12"/>
  <c r="G9" i="12"/>
  <c r="F9" i="12"/>
  <c r="E9" i="12"/>
  <c r="D9" i="12"/>
  <c r="C9" i="12"/>
  <c r="B9" i="12"/>
  <c r="A9" i="12"/>
  <c r="J8" i="12"/>
  <c r="I8" i="12"/>
  <c r="AA4" i="12" s="1"/>
  <c r="H8" i="12"/>
  <c r="G8" i="12"/>
  <c r="F8" i="12"/>
  <c r="E8" i="12"/>
  <c r="D8" i="12"/>
  <c r="C8" i="12"/>
  <c r="B8" i="12"/>
  <c r="A8" i="12"/>
  <c r="AB4" i="12" s="1"/>
  <c r="J7" i="12"/>
  <c r="I7" i="12"/>
  <c r="H7" i="12"/>
  <c r="G7" i="12"/>
  <c r="F7" i="12"/>
  <c r="E7" i="12"/>
  <c r="D7" i="12"/>
  <c r="C7" i="12"/>
  <c r="B7" i="12"/>
  <c r="A7" i="12"/>
  <c r="J6" i="12"/>
  <c r="K6" i="12" s="1"/>
  <c r="I6" i="12"/>
  <c r="H6" i="12"/>
  <c r="Y2" i="12" s="1"/>
  <c r="G6" i="12"/>
  <c r="F6" i="12"/>
  <c r="E6" i="12"/>
  <c r="D6" i="12"/>
  <c r="C6" i="12"/>
  <c r="B6" i="12"/>
  <c r="A6" i="12"/>
  <c r="J5" i="12"/>
  <c r="I5" i="12"/>
  <c r="X2" i="12" s="1"/>
  <c r="H5" i="12"/>
  <c r="G5" i="12"/>
  <c r="F5" i="12"/>
  <c r="E5" i="12"/>
  <c r="D5" i="12"/>
  <c r="C5" i="12"/>
  <c r="B5" i="12"/>
  <c r="A5" i="12"/>
  <c r="AB25" i="12" s="1"/>
  <c r="J4" i="12"/>
  <c r="I4" i="12"/>
  <c r="H4" i="12"/>
  <c r="G4" i="12"/>
  <c r="E4" i="12"/>
  <c r="D4" i="12"/>
  <c r="C4" i="12"/>
  <c r="B4" i="12"/>
  <c r="A4" i="12"/>
  <c r="J3" i="12"/>
  <c r="I3" i="12"/>
  <c r="H3" i="12"/>
  <c r="G3" i="12"/>
  <c r="F3" i="12"/>
  <c r="E3" i="12"/>
  <c r="D3" i="12"/>
  <c r="C3" i="12"/>
  <c r="B3" i="12"/>
  <c r="A3" i="12"/>
  <c r="P2" i="12"/>
  <c r="J2" i="12"/>
  <c r="K10" i="12" s="1"/>
  <c r="I2" i="12"/>
  <c r="H2" i="12"/>
  <c r="G2" i="12"/>
  <c r="F2" i="12"/>
  <c r="E2" i="12"/>
  <c r="D2" i="12"/>
  <c r="C2" i="12"/>
  <c r="B2" i="12"/>
  <c r="A2" i="12"/>
  <c r="Q14" i="11"/>
  <c r="M14" i="11"/>
  <c r="O10" i="11"/>
  <c r="M10" i="11"/>
  <c r="Q10" i="11" s="1"/>
  <c r="O8" i="11"/>
  <c r="Q8" i="11" s="1"/>
  <c r="M8" i="11"/>
  <c r="O2" i="11"/>
  <c r="N2" i="2"/>
  <c r="J6" i="10"/>
  <c r="J7" i="10"/>
  <c r="J8" i="10"/>
  <c r="J9" i="10"/>
  <c r="J10" i="10"/>
  <c r="J11" i="10"/>
  <c r="J12" i="10"/>
  <c r="J13" i="10"/>
  <c r="J14" i="10"/>
  <c r="J5" i="10"/>
  <c r="I6" i="10"/>
  <c r="I7" i="10"/>
  <c r="I8" i="10"/>
  <c r="I9" i="10"/>
  <c r="I10" i="10"/>
  <c r="I11" i="10"/>
  <c r="I12" i="10"/>
  <c r="I13" i="10"/>
  <c r="I14" i="10"/>
  <c r="I5" i="10"/>
  <c r="M2" i="6"/>
  <c r="F2" i="6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K9" i="12" l="1"/>
  <c r="K23" i="12"/>
  <c r="AA30" i="12"/>
  <c r="K13" i="12"/>
  <c r="K11" i="12"/>
  <c r="K15" i="12"/>
  <c r="W2" i="12"/>
  <c r="K20" i="12"/>
  <c r="AB30" i="12"/>
  <c r="K3" i="12"/>
  <c r="X4" i="12"/>
  <c r="K8" i="12"/>
  <c r="AB31" i="12"/>
  <c r="AA28" i="12"/>
  <c r="K4" i="12"/>
  <c r="AB7" i="12"/>
  <c r="X28" i="12"/>
  <c r="AC30" i="12"/>
  <c r="AC24" i="12"/>
  <c r="AB24" i="12"/>
  <c r="AA24" i="12"/>
  <c r="X18" i="12"/>
  <c r="X21" i="12"/>
  <c r="X24" i="12"/>
  <c r="K26" i="12"/>
  <c r="AA31" i="12"/>
  <c r="AA11" i="12"/>
  <c r="AA9" i="12"/>
  <c r="AB14" i="12"/>
  <c r="AA14" i="12"/>
  <c r="AC19" i="12"/>
  <c r="X19" i="12"/>
  <c r="K24" i="12"/>
  <c r="AC29" i="12"/>
  <c r="K31" i="12"/>
  <c r="AA22" i="12"/>
  <c r="K29" i="12"/>
  <c r="AC16" i="12"/>
  <c r="AB16" i="12"/>
  <c r="AA16" i="12"/>
  <c r="X16" i="12"/>
  <c r="X13" i="12"/>
  <c r="X10" i="12"/>
  <c r="K18" i="12"/>
  <c r="S2" i="12"/>
  <c r="R2" i="12"/>
  <c r="Z2" i="12"/>
  <c r="K21" i="12"/>
  <c r="AC10" i="12"/>
  <c r="AB2" i="12"/>
  <c r="AB18" i="12"/>
  <c r="AB10" i="12"/>
  <c r="AB6" i="12"/>
  <c r="AB15" i="12"/>
  <c r="AC4" i="12"/>
  <c r="AC31" i="12"/>
  <c r="AC32" i="12"/>
  <c r="AC18" i="12"/>
  <c r="AC15" i="12"/>
  <c r="AC12" i="12"/>
  <c r="AC9" i="12"/>
  <c r="AB32" i="12"/>
  <c r="AC21" i="12"/>
  <c r="AC13" i="12"/>
  <c r="AC2" i="12"/>
  <c r="AB21" i="12"/>
  <c r="AB13" i="12"/>
  <c r="AC6" i="12"/>
  <c r="AC23" i="12"/>
  <c r="AC28" i="12"/>
  <c r="AC20" i="12"/>
  <c r="AB12" i="12"/>
  <c r="AC7" i="12"/>
  <c r="AB29" i="12"/>
  <c r="AC26" i="12"/>
  <c r="AB23" i="12"/>
  <c r="AB28" i="12"/>
  <c r="AC25" i="12"/>
  <c r="AC17" i="12"/>
  <c r="AB26" i="12"/>
  <c r="AB20" i="12"/>
  <c r="AA2" i="12"/>
  <c r="AA18" i="12"/>
  <c r="AA6" i="12"/>
  <c r="AA21" i="12"/>
  <c r="AA26" i="12"/>
  <c r="AA23" i="12"/>
  <c r="AA13" i="12"/>
  <c r="AA10" i="12"/>
  <c r="AA32" i="12"/>
  <c r="AA29" i="12"/>
  <c r="AA15" i="12"/>
  <c r="AA3" i="12"/>
  <c r="X3" i="12"/>
  <c r="K14" i="12"/>
  <c r="AB22" i="12"/>
  <c r="AA7" i="12"/>
  <c r="X12" i="12"/>
  <c r="K22" i="12"/>
  <c r="AA25" i="12"/>
  <c r="AC27" i="12"/>
  <c r="AA27" i="12"/>
  <c r="AC8" i="12"/>
  <c r="AB8" i="12"/>
  <c r="X8" i="12"/>
  <c r="AA8" i="12"/>
  <c r="X6" i="12"/>
  <c r="AC11" i="12"/>
  <c r="K16" i="12"/>
  <c r="AC3" i="12"/>
  <c r="AB3" i="12"/>
  <c r="T2" i="12"/>
  <c r="AA17" i="12"/>
  <c r="K19" i="12"/>
  <c r="K28" i="12"/>
  <c r="AC5" i="12"/>
  <c r="AB5" i="12"/>
  <c r="AA5" i="12"/>
  <c r="X5" i="12"/>
  <c r="AB9" i="12"/>
  <c r="AC14" i="12"/>
  <c r="K17" i="12"/>
  <c r="K5" i="12"/>
  <c r="K7" i="12"/>
  <c r="K12" i="12"/>
  <c r="AB17" i="12"/>
  <c r="X20" i="12"/>
  <c r="AC22" i="12"/>
  <c r="K25" i="12"/>
  <c r="K27" i="12"/>
  <c r="K2" i="12"/>
  <c r="X27" i="12"/>
  <c r="K30" i="12"/>
  <c r="M2" i="12"/>
  <c r="U2" i="12"/>
  <c r="X14" i="12"/>
  <c r="AA19" i="12"/>
  <c r="X22" i="12"/>
  <c r="X30" i="12"/>
  <c r="X7" i="12"/>
  <c r="X9" i="12"/>
  <c r="X17" i="12"/>
  <c r="AB19" i="12"/>
  <c r="X25" i="12"/>
  <c r="AB27" i="12"/>
  <c r="X31" i="12"/>
  <c r="L2" i="12"/>
  <c r="X11" i="12"/>
  <c r="N2" i="12"/>
  <c r="V2" i="12"/>
  <c r="AB11" i="12"/>
  <c r="O2" i="12"/>
  <c r="G69" i="8" a="1"/>
  <c r="G69" i="8" s="1"/>
  <c r="B69" i="8" a="1"/>
  <c r="B69" i="8" s="1"/>
  <c r="C65" i="8"/>
  <c r="C64" i="8"/>
  <c r="C63" i="8"/>
  <c r="C62" i="8"/>
  <c r="C61" i="8"/>
  <c r="C60" i="8"/>
  <c r="J31" i="6"/>
  <c r="I31" i="6"/>
  <c r="H31" i="6"/>
  <c r="G31" i="6"/>
  <c r="E31" i="6"/>
  <c r="D31" i="6"/>
  <c r="C31" i="6"/>
  <c r="B31" i="6"/>
  <c r="A31" i="6"/>
  <c r="J30" i="6"/>
  <c r="I30" i="6"/>
  <c r="H30" i="6"/>
  <c r="G30" i="6"/>
  <c r="E30" i="6"/>
  <c r="D30" i="6"/>
  <c r="C30" i="6"/>
  <c r="B30" i="6"/>
  <c r="A30" i="6"/>
  <c r="J29" i="6"/>
  <c r="I29" i="6"/>
  <c r="H29" i="6"/>
  <c r="G29" i="6"/>
  <c r="E29" i="6"/>
  <c r="D29" i="6"/>
  <c r="C29" i="6"/>
  <c r="B29" i="6"/>
  <c r="A29" i="6"/>
  <c r="J28" i="6"/>
  <c r="I28" i="6"/>
  <c r="H28" i="6"/>
  <c r="G28" i="6"/>
  <c r="E28" i="6"/>
  <c r="D28" i="6"/>
  <c r="C28" i="6"/>
  <c r="B28" i="6"/>
  <c r="A28" i="6"/>
  <c r="J27" i="6"/>
  <c r="I27" i="6"/>
  <c r="H27" i="6"/>
  <c r="G27" i="6"/>
  <c r="E27" i="6"/>
  <c r="D27" i="6"/>
  <c r="C27" i="6"/>
  <c r="B27" i="6"/>
  <c r="A27" i="6"/>
  <c r="J26" i="6"/>
  <c r="I26" i="6"/>
  <c r="H26" i="6"/>
  <c r="G26" i="6"/>
  <c r="E26" i="6"/>
  <c r="D26" i="6"/>
  <c r="C26" i="6"/>
  <c r="B26" i="6"/>
  <c r="A26" i="6"/>
  <c r="J25" i="6"/>
  <c r="I25" i="6"/>
  <c r="H25" i="6"/>
  <c r="G25" i="6"/>
  <c r="E25" i="6"/>
  <c r="D25" i="6"/>
  <c r="C25" i="6"/>
  <c r="B25" i="6"/>
  <c r="A25" i="6"/>
  <c r="J24" i="6"/>
  <c r="I24" i="6"/>
  <c r="H24" i="6"/>
  <c r="G24" i="6"/>
  <c r="E24" i="6"/>
  <c r="D24" i="6"/>
  <c r="C24" i="6"/>
  <c r="B24" i="6"/>
  <c r="A24" i="6"/>
  <c r="J23" i="6"/>
  <c r="I23" i="6"/>
  <c r="H23" i="6"/>
  <c r="G23" i="6"/>
  <c r="E23" i="6"/>
  <c r="D23" i="6"/>
  <c r="C23" i="6"/>
  <c r="B23" i="6"/>
  <c r="A23" i="6"/>
  <c r="J22" i="6"/>
  <c r="I22" i="6"/>
  <c r="H22" i="6"/>
  <c r="G22" i="6"/>
  <c r="E22" i="6"/>
  <c r="D22" i="6"/>
  <c r="C22" i="6"/>
  <c r="B22" i="6"/>
  <c r="A22" i="6"/>
  <c r="J21" i="6"/>
  <c r="I21" i="6"/>
  <c r="H21" i="6"/>
  <c r="G21" i="6"/>
  <c r="E21" i="6"/>
  <c r="D21" i="6"/>
  <c r="C21" i="6"/>
  <c r="B21" i="6"/>
  <c r="A21" i="6"/>
  <c r="J20" i="6"/>
  <c r="I20" i="6"/>
  <c r="H20" i="6"/>
  <c r="G20" i="6"/>
  <c r="E20" i="6"/>
  <c r="D20" i="6"/>
  <c r="C20" i="6"/>
  <c r="B20" i="6"/>
  <c r="A20" i="6"/>
  <c r="J19" i="6"/>
  <c r="I19" i="6"/>
  <c r="H19" i="6"/>
  <c r="G19" i="6"/>
  <c r="E19" i="6"/>
  <c r="D19" i="6"/>
  <c r="C19" i="6"/>
  <c r="B19" i="6"/>
  <c r="A19" i="6"/>
  <c r="J18" i="6"/>
  <c r="I18" i="6"/>
  <c r="H18" i="6"/>
  <c r="G18" i="6"/>
  <c r="E18" i="6"/>
  <c r="D18" i="6"/>
  <c r="C18" i="6"/>
  <c r="B18" i="6"/>
  <c r="A18" i="6"/>
  <c r="J17" i="6"/>
  <c r="I17" i="6"/>
  <c r="H17" i="6"/>
  <c r="G17" i="6"/>
  <c r="E17" i="6"/>
  <c r="D17" i="6"/>
  <c r="C17" i="6"/>
  <c r="B17" i="6"/>
  <c r="A17" i="6"/>
  <c r="J16" i="6"/>
  <c r="I16" i="6"/>
  <c r="H16" i="6"/>
  <c r="G16" i="6"/>
  <c r="E16" i="6"/>
  <c r="D16" i="6"/>
  <c r="C16" i="6"/>
  <c r="B16" i="6"/>
  <c r="A16" i="6"/>
  <c r="J15" i="6"/>
  <c r="I15" i="6"/>
  <c r="H15" i="6"/>
  <c r="G15" i="6"/>
  <c r="E15" i="6"/>
  <c r="D15" i="6"/>
  <c r="C15" i="6"/>
  <c r="B15" i="6"/>
  <c r="A15" i="6"/>
  <c r="J14" i="6"/>
  <c r="I14" i="6"/>
  <c r="H14" i="6"/>
  <c r="G14" i="6"/>
  <c r="E14" i="6"/>
  <c r="D14" i="6"/>
  <c r="C14" i="6"/>
  <c r="B14" i="6"/>
  <c r="A14" i="6"/>
  <c r="J13" i="6"/>
  <c r="I13" i="6"/>
  <c r="H13" i="6"/>
  <c r="G13" i="6"/>
  <c r="E13" i="6"/>
  <c r="D13" i="6"/>
  <c r="C13" i="6"/>
  <c r="B13" i="6"/>
  <c r="A13" i="6"/>
  <c r="J12" i="6"/>
  <c r="I12" i="6"/>
  <c r="H12" i="6"/>
  <c r="G12" i="6"/>
  <c r="E12" i="6"/>
  <c r="D12" i="6"/>
  <c r="C12" i="6"/>
  <c r="B12" i="6"/>
  <c r="A12" i="6"/>
  <c r="J11" i="6"/>
  <c r="I11" i="6"/>
  <c r="H11" i="6"/>
  <c r="G11" i="6"/>
  <c r="E11" i="6"/>
  <c r="D11" i="6"/>
  <c r="C11" i="6"/>
  <c r="B11" i="6"/>
  <c r="A11" i="6"/>
  <c r="J10" i="6"/>
  <c r="I10" i="6"/>
  <c r="H10" i="6"/>
  <c r="G10" i="6"/>
  <c r="E10" i="6"/>
  <c r="D10" i="6"/>
  <c r="C10" i="6"/>
  <c r="B10" i="6"/>
  <c r="A10" i="6"/>
  <c r="J9" i="6"/>
  <c r="I9" i="6"/>
  <c r="H9" i="6"/>
  <c r="G9" i="6"/>
  <c r="E9" i="6"/>
  <c r="D9" i="6"/>
  <c r="C9" i="6"/>
  <c r="B9" i="6"/>
  <c r="A9" i="6"/>
  <c r="J8" i="6"/>
  <c r="I8" i="6"/>
  <c r="H8" i="6"/>
  <c r="G8" i="6"/>
  <c r="E8" i="6"/>
  <c r="D8" i="6"/>
  <c r="C8" i="6"/>
  <c r="B8" i="6"/>
  <c r="A8" i="6"/>
  <c r="J7" i="6"/>
  <c r="I7" i="6"/>
  <c r="H7" i="6"/>
  <c r="G7" i="6"/>
  <c r="E7" i="6"/>
  <c r="D7" i="6"/>
  <c r="C7" i="6"/>
  <c r="B7" i="6"/>
  <c r="A7" i="6"/>
  <c r="J6" i="6"/>
  <c r="I6" i="6"/>
  <c r="H6" i="6"/>
  <c r="G6" i="6"/>
  <c r="E6" i="6"/>
  <c r="D6" i="6"/>
  <c r="C6" i="6"/>
  <c r="B6" i="6"/>
  <c r="A6" i="6"/>
  <c r="J5" i="6"/>
  <c r="I5" i="6"/>
  <c r="H5" i="6"/>
  <c r="G5" i="6"/>
  <c r="E5" i="6"/>
  <c r="D5" i="6"/>
  <c r="C5" i="6"/>
  <c r="B5" i="6"/>
  <c r="A5" i="6"/>
  <c r="J4" i="6"/>
  <c r="I4" i="6"/>
  <c r="H4" i="6"/>
  <c r="G4" i="6"/>
  <c r="E4" i="6"/>
  <c r="D4" i="6"/>
  <c r="C4" i="6"/>
  <c r="B4" i="6"/>
  <c r="A4" i="6"/>
  <c r="J3" i="6"/>
  <c r="I3" i="6"/>
  <c r="H3" i="6"/>
  <c r="G3" i="6"/>
  <c r="E3" i="6"/>
  <c r="D3" i="6"/>
  <c r="C3" i="6"/>
  <c r="B3" i="6"/>
  <c r="A3" i="6"/>
  <c r="J2" i="6"/>
  <c r="I2" i="6"/>
  <c r="H2" i="6"/>
  <c r="G2" i="6"/>
  <c r="E2" i="6"/>
  <c r="D2" i="6"/>
  <c r="C2" i="6"/>
  <c r="B2" i="6"/>
  <c r="A2" i="6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K30" i="3" s="1"/>
  <c r="I30" i="3"/>
  <c r="H30" i="3"/>
  <c r="G30" i="3"/>
  <c r="F30" i="3"/>
  <c r="E30" i="3"/>
  <c r="D30" i="3"/>
  <c r="C30" i="3"/>
  <c r="B30" i="3"/>
  <c r="A30" i="3"/>
  <c r="J29" i="3"/>
  <c r="K29" i="3" s="1"/>
  <c r="I29" i="3"/>
  <c r="H29" i="3"/>
  <c r="G29" i="3"/>
  <c r="F29" i="3"/>
  <c r="E29" i="3"/>
  <c r="D29" i="3"/>
  <c r="C29" i="3"/>
  <c r="B29" i="3"/>
  <c r="A29" i="3"/>
  <c r="J28" i="3"/>
  <c r="K28" i="3" s="1"/>
  <c r="I28" i="3"/>
  <c r="H28" i="3"/>
  <c r="G28" i="3"/>
  <c r="F28" i="3"/>
  <c r="E28" i="3"/>
  <c r="D28" i="3"/>
  <c r="C28" i="3"/>
  <c r="B28" i="3"/>
  <c r="A28" i="3"/>
  <c r="J27" i="3"/>
  <c r="K27" i="3" s="1"/>
  <c r="I27" i="3"/>
  <c r="H27" i="3"/>
  <c r="G27" i="3"/>
  <c r="F27" i="3"/>
  <c r="E27" i="3"/>
  <c r="D27" i="3"/>
  <c r="C27" i="3"/>
  <c r="B27" i="3"/>
  <c r="A27" i="3"/>
  <c r="J26" i="3"/>
  <c r="K26" i="3" s="1"/>
  <c r="I26" i="3"/>
  <c r="H26" i="3"/>
  <c r="G26" i="3"/>
  <c r="F26" i="3"/>
  <c r="E26" i="3"/>
  <c r="D26" i="3"/>
  <c r="C26" i="3"/>
  <c r="B26" i="3"/>
  <c r="A26" i="3"/>
  <c r="J25" i="3"/>
  <c r="K25" i="3" s="1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K22" i="3" s="1"/>
  <c r="I22" i="3"/>
  <c r="H22" i="3"/>
  <c r="G22" i="3"/>
  <c r="F22" i="3"/>
  <c r="E22" i="3"/>
  <c r="D22" i="3"/>
  <c r="C22" i="3"/>
  <c r="B22" i="3"/>
  <c r="A22" i="3"/>
  <c r="J21" i="3"/>
  <c r="K21" i="3" s="1"/>
  <c r="I21" i="3"/>
  <c r="H21" i="3"/>
  <c r="G21" i="3"/>
  <c r="F21" i="3"/>
  <c r="E21" i="3"/>
  <c r="D21" i="3"/>
  <c r="C21" i="3"/>
  <c r="B21" i="3"/>
  <c r="A21" i="3"/>
  <c r="J20" i="3"/>
  <c r="K20" i="3" s="1"/>
  <c r="I20" i="3"/>
  <c r="H20" i="3"/>
  <c r="G20" i="3"/>
  <c r="F20" i="3"/>
  <c r="E20" i="3"/>
  <c r="D20" i="3"/>
  <c r="C20" i="3"/>
  <c r="B20" i="3"/>
  <c r="A20" i="3"/>
  <c r="J19" i="3"/>
  <c r="K19" i="3" s="1"/>
  <c r="I19" i="3"/>
  <c r="H19" i="3"/>
  <c r="G19" i="3"/>
  <c r="F19" i="3"/>
  <c r="E19" i="3"/>
  <c r="D19" i="3"/>
  <c r="C19" i="3"/>
  <c r="B19" i="3"/>
  <c r="A19" i="3"/>
  <c r="J18" i="3"/>
  <c r="K18" i="3" s="1"/>
  <c r="I18" i="3"/>
  <c r="H18" i="3"/>
  <c r="G18" i="3"/>
  <c r="F18" i="3"/>
  <c r="E18" i="3"/>
  <c r="D18" i="3"/>
  <c r="C18" i="3"/>
  <c r="B18" i="3"/>
  <c r="A18" i="3"/>
  <c r="J17" i="3"/>
  <c r="K17" i="3" s="1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K14" i="3" s="1"/>
  <c r="I14" i="3"/>
  <c r="H14" i="3"/>
  <c r="G14" i="3"/>
  <c r="F14" i="3"/>
  <c r="E14" i="3"/>
  <c r="D14" i="3"/>
  <c r="C14" i="3"/>
  <c r="B14" i="3"/>
  <c r="A14" i="3"/>
  <c r="J13" i="3"/>
  <c r="K13" i="3" s="1"/>
  <c r="I13" i="3"/>
  <c r="H13" i="3"/>
  <c r="G13" i="3"/>
  <c r="F13" i="3"/>
  <c r="E13" i="3"/>
  <c r="D13" i="3"/>
  <c r="C13" i="3"/>
  <c r="B13" i="3"/>
  <c r="A13" i="3"/>
  <c r="J12" i="3"/>
  <c r="K12" i="3" s="1"/>
  <c r="I12" i="3"/>
  <c r="H12" i="3"/>
  <c r="G12" i="3"/>
  <c r="F12" i="3"/>
  <c r="E12" i="3"/>
  <c r="D12" i="3"/>
  <c r="C12" i="3"/>
  <c r="B12" i="3"/>
  <c r="A12" i="3"/>
  <c r="J11" i="3"/>
  <c r="K11" i="3" s="1"/>
  <c r="I11" i="3"/>
  <c r="H11" i="3"/>
  <c r="G11" i="3"/>
  <c r="F11" i="3"/>
  <c r="E11" i="3"/>
  <c r="D11" i="3"/>
  <c r="C11" i="3"/>
  <c r="B11" i="3"/>
  <c r="A11" i="3"/>
  <c r="J10" i="3"/>
  <c r="K10" i="3" s="1"/>
  <c r="I10" i="3"/>
  <c r="H10" i="3"/>
  <c r="G10" i="3"/>
  <c r="F10" i="3"/>
  <c r="E10" i="3"/>
  <c r="D10" i="3"/>
  <c r="C10" i="3"/>
  <c r="B10" i="3"/>
  <c r="A10" i="3"/>
  <c r="J9" i="3"/>
  <c r="K9" i="3" s="1"/>
  <c r="I9" i="3"/>
  <c r="H9" i="3"/>
  <c r="G9" i="3"/>
  <c r="F9" i="3"/>
  <c r="E9" i="3"/>
  <c r="D9" i="3"/>
  <c r="C9" i="3"/>
  <c r="B9" i="3"/>
  <c r="A9" i="3"/>
  <c r="J8" i="3"/>
  <c r="K8" i="3" s="1"/>
  <c r="I8" i="3"/>
  <c r="H8" i="3"/>
  <c r="G8" i="3"/>
  <c r="F8" i="3"/>
  <c r="E8" i="3"/>
  <c r="D8" i="3"/>
  <c r="C8" i="3"/>
  <c r="B8" i="3"/>
  <c r="A8" i="3"/>
  <c r="J7" i="3"/>
  <c r="K7" i="3" s="1"/>
  <c r="I7" i="3"/>
  <c r="H7" i="3"/>
  <c r="G7" i="3"/>
  <c r="F7" i="3"/>
  <c r="E7" i="3"/>
  <c r="D7" i="3"/>
  <c r="C7" i="3"/>
  <c r="B7" i="3"/>
  <c r="A7" i="3"/>
  <c r="J6" i="3"/>
  <c r="K6" i="3" s="1"/>
  <c r="I6" i="3"/>
  <c r="H6" i="3"/>
  <c r="G6" i="3"/>
  <c r="F6" i="3"/>
  <c r="E6" i="3"/>
  <c r="D6" i="3"/>
  <c r="C6" i="3"/>
  <c r="B6" i="3"/>
  <c r="A6" i="3"/>
  <c r="J5" i="3"/>
  <c r="K5" i="3" s="1"/>
  <c r="I5" i="3"/>
  <c r="H5" i="3"/>
  <c r="G5" i="3"/>
  <c r="F5" i="3"/>
  <c r="E5" i="3"/>
  <c r="D5" i="3"/>
  <c r="C5" i="3"/>
  <c r="B5" i="3"/>
  <c r="A5" i="3"/>
  <c r="J4" i="3"/>
  <c r="K4" i="3" s="1"/>
  <c r="I4" i="3"/>
  <c r="H4" i="3"/>
  <c r="G4" i="3"/>
  <c r="F4" i="3"/>
  <c r="E4" i="3"/>
  <c r="D4" i="3"/>
  <c r="C4" i="3"/>
  <c r="B4" i="3"/>
  <c r="A4" i="3"/>
  <c r="J3" i="3"/>
  <c r="K3" i="3" s="1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  <c r="C46" i="6" l="1"/>
  <c r="L2" i="6"/>
  <c r="L3" i="6"/>
  <c r="L11" i="6"/>
  <c r="L17" i="6"/>
  <c r="L10" i="6"/>
  <c r="L9" i="6"/>
  <c r="L25" i="6"/>
  <c r="L18" i="6"/>
  <c r="L26" i="6"/>
  <c r="L7" i="6"/>
  <c r="L15" i="6"/>
  <c r="L5" i="6"/>
  <c r="L19" i="6"/>
  <c r="L23" i="6"/>
  <c r="L27" i="6"/>
  <c r="L31" i="6"/>
  <c r="L6" i="6"/>
  <c r="L4" i="6"/>
  <c r="L22" i="6"/>
  <c r="L16" i="6"/>
  <c r="L14" i="6"/>
  <c r="L12" i="6"/>
  <c r="L20" i="6"/>
  <c r="L24" i="6"/>
  <c r="L28" i="6"/>
  <c r="K32" i="3"/>
  <c r="K24" i="3"/>
  <c r="K16" i="3"/>
  <c r="K31" i="3"/>
  <c r="K23" i="3"/>
  <c r="K15" i="3"/>
  <c r="L13" i="6"/>
  <c r="L29" i="6"/>
  <c r="L21" i="6"/>
  <c r="L8" i="6"/>
  <c r="L3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<sst xmlns="http://schemas.openxmlformats.org/spreadsheetml/2006/main" count="1028" uniqueCount="459">
  <si>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</si>
  <si>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</si>
  <si>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</si>
  <si>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</si>
  <si>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</si>
  <si>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</si>
  <si>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</si>
  <si>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</si>
  <si>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</si>
  <si>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</si>
  <si>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</si>
  <si>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</si>
  <si>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</si>
  <si>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</si>
  <si>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</si>
  <si>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</si>
  <si>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</si>
  <si>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</si>
  <si>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</si>
  <si>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</si>
  <si>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</si>
  <si>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</si>
  <si>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</si>
  <si>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</si>
  <si>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</si>
  <si>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</si>
  <si>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</si>
  <si>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</si>
  <si>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</si>
  <si>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</si>
  <si>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</si>
  <si>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</si>
  <si>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</si>
  <si>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</si>
  <si>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</si>
  <si>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</si>
  <si>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</si>
  <si>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</si>
  <si>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</si>
  <si>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</si>
  <si>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</si>
  <si>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</si>
  <si>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</si>
  <si>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</si>
  <si>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</si>
  <si>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</si>
  <si>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</si>
  <si>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</si>
  <si>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</si>
  <si>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</si>
  <si>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</si>
  <si>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</si>
  <si>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</si>
  <si>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</si>
  <si>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</si>
  <si>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</si>
  <si>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</si>
  <si>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</si>
  <si>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</si>
  <si>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</si>
  <si>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</si>
  <si>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</si>
  <si>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</si>
  <si>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</si>
  <si>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</si>
  <si>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</si>
  <si>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</si>
  <si>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</si>
  <si>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</si>
  <si>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</si>
  <si>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</si>
  <si>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</si>
  <si>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</si>
  <si>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</si>
  <si>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</si>
  <si>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</si>
  <si>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</si>
  <si>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</si>
  <si>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</si>
  <si>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</si>
  <si>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</si>
  <si>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</si>
  <si>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</si>
  <si>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</si>
  <si>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</si>
  <si>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</si>
  <si>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</si>
  <si>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</si>
  <si>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</si>
  <si>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</si>
  <si>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</si>
  <si>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</si>
  <si>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</si>
  <si>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</si>
  <si>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</si>
  <si>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</si>
  <si>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</si>
  <si>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</si>
  <si>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</si>
  <si>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</si>
  <si>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</si>
  <si>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</si>
  <si>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</si>
  <si>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</si>
  <si>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</si>
  <si>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</si>
  <si>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</si>
  <si>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</si>
  <si>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</si>
  <si>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</si>
  <si>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</si>
  <si>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</si>
  <si>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</si>
  <si>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</si>
  <si>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</si>
  <si>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</si>
  <si>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</si>
  <si>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</si>
  <si>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</si>
  <si>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</si>
  <si>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</si>
  <si>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</si>
  <si>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</si>
  <si>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</si>
  <si>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</si>
  <si>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</si>
  <si>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</si>
  <si>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</si>
  <si>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</si>
  <si>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</si>
  <si>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</si>
  <si>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</si>
  <si>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</si>
  <si>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</si>
  <si>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</si>
  <si>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</si>
  <si>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</si>
  <si>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</si>
  <si>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</si>
  <si>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</si>
  <si>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</si>
  <si>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</si>
  <si>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</si>
  <si>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</si>
  <si>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</si>
  <si>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</si>
  <si>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</si>
  <si>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</si>
  <si>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</si>
  <si>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</si>
  <si>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</si>
  <si>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</si>
  <si>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</si>
  <si>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</si>
  <si>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</si>
  <si>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</si>
  <si>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</si>
  <si>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</si>
  <si>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</si>
  <si>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</si>
  <si>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</si>
  <si>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</si>
  <si>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</si>
  <si>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</si>
  <si>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</si>
  <si>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</si>
  <si>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</si>
  <si>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</si>
  <si>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</si>
  <si>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</si>
  <si>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</si>
  <si>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</si>
  <si>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</si>
  <si>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</si>
  <si>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</si>
  <si>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</si>
  <si>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</si>
  <si>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</si>
  <si>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</si>
  <si>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</si>
  <si>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</si>
  <si>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</si>
  <si>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</si>
  <si>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</si>
  <si>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</si>
  <si>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</si>
  <si>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</si>
  <si>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</si>
  <si>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</si>
  <si>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</si>
  <si>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</si>
  <si>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</si>
  <si>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</si>
  <si>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</si>
  <si>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</si>
  <si>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</si>
  <si>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</si>
  <si>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</si>
  <si>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</si>
  <si>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</si>
  <si>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</si>
  <si>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</si>
  <si>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</si>
  <si>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</si>
  <si>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</si>
  <si>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</si>
  <si>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</si>
  <si>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</si>
  <si>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</si>
  <si>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</si>
  <si>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</si>
  <si>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</si>
  <si>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</si>
  <si>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</si>
  <si>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</si>
  <si>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</si>
  <si>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</si>
  <si>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</si>
  <si>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</si>
  <si>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</si>
  <si>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</si>
  <si>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</si>
  <si>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</si>
  <si>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</si>
  <si>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</si>
  <si>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</si>
  <si>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</si>
  <si>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</si>
  <si>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</si>
  <si>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</si>
  <si>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</si>
  <si>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</si>
  <si>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</si>
  <si>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</si>
  <si>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</si>
  <si>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</si>
  <si>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</si>
  <si>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</si>
  <si>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</si>
  <si>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</si>
  <si>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</si>
  <si>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</si>
  <si>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</si>
  <si>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</si>
  <si>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</si>
  <si>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</si>
  <si>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</si>
  <si>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</si>
  <si>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</si>
  <si>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</si>
  <si>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</si>
  <si>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</si>
  <si>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</si>
  <si>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</si>
  <si>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</si>
  <si>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</si>
  <si>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</si>
  <si>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</si>
  <si>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</si>
  <si>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</si>
  <si>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</si>
  <si>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</si>
  <si>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</si>
  <si>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</si>
  <si>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</si>
  <si>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</si>
  <si>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</si>
  <si>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</si>
  <si>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</si>
  <si>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</si>
  <si>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</si>
  <si>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</si>
  <si>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</si>
  <si>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</si>
  <si>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</si>
  <si>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</si>
  <si>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</si>
  <si>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</si>
  <si>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</si>
  <si>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</si>
  <si>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</si>
  <si>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</si>
  <si>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</si>
  <si>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</si>
  <si>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</si>
  <si>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</si>
  <si>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</si>
  <si>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</si>
  <si>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</si>
  <si>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</si>
  <si>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</si>
  <si>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</si>
  <si>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</si>
  <si>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</si>
  <si>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</si>
  <si>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</si>
  <si>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</si>
  <si>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</si>
  <si>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</si>
  <si>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</si>
  <si>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</si>
  <si>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</si>
  <si>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</si>
  <si>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</si>
  <si>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</si>
  <si>
    <t>Status</t>
  </si>
  <si>
    <t>KPMG Operations Analyst – Week 1 | Lab: Data Sorting</t>
  </si>
  <si>
    <t>Day 1 Practice  |  Estimated time: 25–30 minutes  |  Dataset: 27 banking transactions</t>
  </si>
  <si>
    <t xml:space="preserve">  🎯  Learning objectives</t>
  </si>
  <si>
    <t>By the end of this lab you can:</t>
  </si>
  <si>
    <t>1.  Sort a single column ascending / descending without breaking row integrity</t>
  </si>
  <si>
    <t>2.  Apply a multi-level (two- or three-key) sort using Data → Sort</t>
  </si>
  <si>
    <t>3.  Sort text, numbers and dates and explain why each behaves differently</t>
  </si>
  <si>
    <t>4.  Build a Custom List to sort in a business order (not A–Z)</t>
  </si>
  <si>
    <t>5.  Sort left-to-right (by row) and sort by cell colour</t>
  </si>
  <si>
    <t>6.  Replace manual sorting with dynamic SORT / SORTBY / LARGE / RANK formulas</t>
  </si>
  <si>
    <t xml:space="preserve">  ⚠️  Golden rule</t>
  </si>
  <si>
    <t>Never sort one column on its own. Click any single cell inside the table (or select the whole block B17:G44) so Excel keeps each transaction's row together. Sorting only the Amount column silently scrambles the ledger — this is the #1 audit error.</t>
  </si>
  <si>
    <t xml:space="preserve">  📊  Practice dataset  —  sort THIS table (B17:G44). Source: cleaned Day-1 transaction ledger.</t>
  </si>
  <si>
    <t>Amount (INR)</t>
  </si>
  <si>
    <t>Rahul Mehta</t>
  </si>
  <si>
    <t>Ananya Iyer</t>
  </si>
  <si>
    <t>UNKNOWN</t>
  </si>
  <si>
    <t>TXN-0005</t>
  </si>
  <si>
    <t>Amit Patel</t>
  </si>
  <si>
    <t>Ritu Gupta</t>
  </si>
  <si>
    <t>Meena Krishnan</t>
  </si>
  <si>
    <t>Arjun Bose</t>
  </si>
  <si>
    <t>Kavya Reddy</t>
  </si>
  <si>
    <t>Nikhil Joshi</t>
  </si>
  <si>
    <t>Preethi Menon</t>
  </si>
  <si>
    <t>Rohit Kumar</t>
  </si>
  <si>
    <t>Lakshmi Rao</t>
  </si>
  <si>
    <t>Divya Nambiar</t>
  </si>
  <si>
    <t>Sanjay Kapoor</t>
  </si>
  <si>
    <t>Radha Krishna</t>
  </si>
  <si>
    <t>Mohan Lal</t>
  </si>
  <si>
    <t>Kiran Bhat</t>
  </si>
  <si>
    <t>Nisha Thomas</t>
  </si>
  <si>
    <t>Vishal Agarwal</t>
  </si>
  <si>
    <t>Rajan Pillai</t>
  </si>
  <si>
    <t xml:space="preserve">  🧪  Lab exercises  —  do each one on the table above, then undo (Ctrl+Z) before the next</t>
  </si>
  <si>
    <t>#</t>
  </si>
  <si>
    <t>Task</t>
  </si>
  <si>
    <t>How to do it in Excel</t>
  </si>
  <si>
    <t>Expected result / self-check</t>
  </si>
  <si>
    <t>L1</t>
  </si>
  <si>
    <t>Sort the ledger by Amount, largest first</t>
  </si>
  <si>
    <t>Click any cell in F17:F44 → Data → Sort Z→A (Largest to Smallest)</t>
  </si>
  <si>
    <t>Row 18 = Deepak Verma, 45,000. Last row = Preethi Menon, 250</t>
  </si>
  <si>
    <t>L2</t>
  </si>
  <si>
    <t>Sort by Customer_Name A→Z</t>
  </si>
  <si>
    <t>Click any cell in C17:C44 → Data → Sort A→Z</t>
  </si>
  <si>
    <t>First = Amit Patel, last = Vishal Agarwal (text sorts alphabetically, ignoring case)</t>
  </si>
  <si>
    <t>L3</t>
  </si>
  <si>
    <t>Sort by Transaction_Date oldest → newest</t>
  </si>
  <si>
    <t>Click any cell in D17:D44 → Data → Sort Oldest to Newest</t>
  </si>
  <si>
    <t>01-Aug rows first. If dates sort like text, they are stored as text — fix the format first</t>
  </si>
  <si>
    <t>L4</t>
  </si>
  <si>
    <t>Two-level sort: Branch_Code A→Z, then Amount largest first</t>
  </si>
  <si>
    <t>Data → Sort → Sort by Branch_Code (A→Z) → Add Level → Then by Amount (Largest to Smallest)</t>
  </si>
  <si>
    <t>L5</t>
  </si>
  <si>
    <t>Three-level sort: Transaction_Type, then Branch_Code, then Date</t>
  </si>
  <si>
    <t>Data → Sort → add three levels in that order (top level wins)</t>
  </si>
  <si>
    <t>All Credits appear before all Debits; inside each type branches run BRN-01 → UNKNOWN</t>
  </si>
  <si>
    <t>L6</t>
  </si>
  <si>
    <t>Custom List sort: put UNKNOWN branches at the top, then BRN-01…BRN-05</t>
  </si>
  <si>
    <t>Data → Sort → Sort by Branch_Code → Order → Custom List… → type: UNKNOWN, BRN-01, BRN-02, BRN-03, BRN-04, BRN-05</t>
  </si>
  <si>
    <t>The 5 UNKNOWN rows sit at the top — this is how you triage missing reference data</t>
  </si>
  <si>
    <t>L7</t>
  </si>
  <si>
    <t>Sort by colour</t>
  </si>
  <si>
    <t>Fill any 3 Amount cells yellow → Data → Sort → Sort On: Cell Color → Order: yellow On Top</t>
  </si>
  <si>
    <t>The 3 highlighted rows move to the top; colour order is not automatic, you define it</t>
  </si>
  <si>
    <t>L8</t>
  </si>
  <si>
    <t>Sort left to right (by row)</t>
  </si>
  <si>
    <t>Select B17:G17 headers only → Data → Sort → Options… → Sort left to right</t>
  </si>
  <si>
    <t>Column order becomes Amount, Branch, Customer, Transaction_Date, Transaction_ID, Transaction_Type. Undo afterwards</t>
  </si>
  <si>
    <t>L9</t>
  </si>
  <si>
    <t>Break it on purpose: select ONLY F18:F44 and sort Z→A</t>
  </si>
  <si>
    <t>Select just the Amount cells → Sort → choose 'Continue with the current selection'</t>
  </si>
  <si>
    <t>Amounts no longer match customers — the ledger is corrupted. Press Ctrl+Z and note why range selection matters</t>
  </si>
  <si>
    <t>BRN-01 block runs 25,000 → 18,900 → 15,000 → 11,000 → 5,500 → 3,750</t>
  </si>
  <si>
    <t xml:space="preserve">  ⚡  Sorting with formulas  —  results update automatically, source table untouched</t>
  </si>
  <si>
    <t>Metric</t>
  </si>
  <si>
    <t>Result</t>
  </si>
  <si>
    <t>Formula used</t>
  </si>
  <si>
    <t>Largest amount</t>
  </si>
  <si>
    <t>=MAX($F$18:$F$44)</t>
  </si>
  <si>
    <t>2nd largest amount</t>
  </si>
  <si>
    <t>=LARGE($F$18:$F$44,2)</t>
  </si>
  <si>
    <t>3rd largest amount</t>
  </si>
  <si>
    <t>=LARGE($F$18:$F$44,3)</t>
  </si>
  <si>
    <t>Smallest amount</t>
  </si>
  <si>
    <t>=SMALL($F$18:$F$44,1)</t>
  </si>
  <si>
    <t>Customer with largest amount</t>
  </si>
  <si>
    <t>=INDEX(C:C,MATCH(MAX(F:F),F:F,0))</t>
  </si>
  <si>
    <t>Rank of row 18's amount</t>
  </si>
  <si>
    <t>=RANK.EQ(F18,$F$18:$F$44,0)  — 0 = descending rank</t>
  </si>
  <si>
    <t xml:space="preserve">  Live sorted view  —  Amount high → low. This block re-sorts itself; the ledger above never moves.</t>
  </si>
  <si>
    <t>Names sorted by Branch A→Z, then Amount high→low  =SORTBY(...)</t>
  </si>
  <si>
    <t xml:space="preserve">  🏆  Challenge &amp; debrief</t>
  </si>
  <si>
    <t>S1</t>
  </si>
  <si>
    <t>Which branch holds the single largest Debit? Sort by Type then Amount to find it, then prove it with a formula in D98.</t>
  </si>
  <si>
    <t>S2</t>
  </si>
  <si>
    <t>Sort by Date newest first — six rows share 25-Aug. What decides their order, and how do you control it? (Answer: add a second sort level.)</t>
  </si>
  <si>
    <t>S3</t>
  </si>
  <si>
    <t>Convert B17:G44 to a Table (Ctrl+T) and sort from the header drop-downs. Note two advantages over sorting a plain range.</t>
  </si>
  <si>
    <t>S4</t>
  </si>
  <si>
    <t>Add a row for TXN-0029 at the bottom, then re-sort. Explain why the SORT formula block updated but the manual sort did not.</t>
  </si>
  <si>
    <t>S5</t>
  </si>
  <si>
    <t>Take-away: manual sort = one-time reorder of the source; SORT/SORTBY = a live view that leaves the audit trail intact.</t>
  </si>
  <si>
    <t>CHECK</t>
  </si>
  <si>
    <t>Column1</t>
  </si>
  <si>
    <t>S.No</t>
  </si>
  <si>
    <t>Name</t>
  </si>
  <si>
    <t>Bank Balance</t>
  </si>
  <si>
    <t>Interest</t>
  </si>
  <si>
    <t>James</t>
  </si>
  <si>
    <t>Mary</t>
  </si>
  <si>
    <t>Gary</t>
  </si>
  <si>
    <t>Rosell</t>
  </si>
  <si>
    <t>John</t>
  </si>
  <si>
    <t>Simmi</t>
  </si>
  <si>
    <t>Amayra</t>
  </si>
  <si>
    <t>Ryan</t>
  </si>
  <si>
    <t>Charles</t>
  </si>
  <si>
    <t>Jenny</t>
  </si>
  <si>
    <t>Total(Relative)</t>
  </si>
  <si>
    <t>Total (Absolute)</t>
  </si>
  <si>
    <t>IsNumbe</t>
  </si>
  <si>
    <t xml:space="preserve">01/08/2026 </t>
  </si>
  <si>
    <t>Date</t>
  </si>
  <si>
    <t xml:space="preserve">Check Date </t>
  </si>
  <si>
    <t>=ISNUMBER(D8)</t>
  </si>
  <si>
    <t>=DATEVALUE(D8)</t>
  </si>
  <si>
    <t>=ISNUMBER(O6)</t>
  </si>
  <si>
    <t>=DATE(LEFT(D10,4),MID(D10,6,2),RIGHT(D10,2))</t>
  </si>
  <si>
    <t>Isnumber(M10)</t>
  </si>
  <si>
    <t>=Isnumber(D10)</t>
  </si>
  <si>
    <t>=DATE(RIGHT(D14,4),MID(D14,4,2),LEFT(D14,2))</t>
  </si>
  <si>
    <t>=ISNUMBER(M14)</t>
  </si>
  <si>
    <t>Count Total Amount</t>
  </si>
  <si>
    <t>Total Amount</t>
  </si>
  <si>
    <t>Average of amount</t>
  </si>
  <si>
    <t xml:space="preserve">Is number </t>
  </si>
  <si>
    <t>Is it a Text</t>
  </si>
  <si>
    <t>Count Non Empty Amount</t>
  </si>
  <si>
    <t>Max Amount</t>
  </si>
  <si>
    <t>Min Amount</t>
  </si>
  <si>
    <t>Count Credit Transaction</t>
  </si>
  <si>
    <t>Debit count</t>
  </si>
  <si>
    <t>Total Credit Value</t>
  </si>
  <si>
    <t>Total Debit Value</t>
  </si>
  <si>
    <t>Find duplicate transaction</t>
  </si>
  <si>
    <t>Finds unknown branch codes</t>
  </si>
  <si>
    <t>Finds invalid amount entries</t>
  </si>
  <si>
    <t>Find Duplicate Transaction ID</t>
  </si>
  <si>
    <t>Check Duplication Customer ID</t>
  </si>
  <si>
    <t>Check duplicate transactions (Same customerid and transactionid)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</si>
</sst>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/mmm/yyyy"/>
  </numFmts>
  <fonts count="36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1"/>
      <color rgb="FF7C2D0A"/>
      <name val="Cambria"/>
      <family val="1"/>
    </font>
    <font>
      <sz val="11"/>
      <color rgb="FF14181F"/>
      <name val="Courier New"/>
      <family val="1"/>
    </font>
    <font>
      <sz val="11"/>
      <color rgb="FF000000"/>
      <name val="Calibri"/>
      <family val="2"/>
      <charset val="1"/>
    </font>
    <font>
      <b/>
      <sz val="11"/>
      <color rgb="FF8B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206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rgb="FF000000"/>
      <name val="Courier New"/>
      <family val="1"/>
    </font>
    <font>
      <b/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8B0000"/>
      </patternFill>
    </fill>
    <fill>
      <patternFill patternType="solid">
        <fgColor rgb="FFFFC000"/>
        <bgColor rgb="FFF2F2F2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14" borderId="0" xfId="0" applyFont="1" applyFill="1"/>
    <xf numFmtId="0" fontId="20" fillId="0" borderId="0" xfId="0" applyFont="1"/>
    <xf numFmtId="0" fontId="21" fillId="0" borderId="0" xfId="0" applyFont="1"/>
    <xf numFmtId="0" fontId="5" fillId="12" borderId="0" xfId="0" applyFont="1" applyFill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14" fontId="20" fillId="0" borderId="4" xfId="0" applyNumberFormat="1" applyFont="1" applyBorder="1"/>
    <xf numFmtId="14" fontId="20" fillId="0" borderId="7" xfId="0" applyNumberFormat="1" applyFont="1" applyBorder="1"/>
    <xf numFmtId="4" fontId="20" fillId="0" borderId="4" xfId="0" applyNumberFormat="1" applyFont="1" applyBorder="1"/>
    <xf numFmtId="4" fontId="20" fillId="0" borderId="7" xfId="0" applyNumberFormat="1" applyFont="1" applyBorder="1"/>
    <xf numFmtId="0" fontId="21" fillId="16" borderId="0" xfId="0" applyFont="1" applyFill="1"/>
    <xf numFmtId="0" fontId="11" fillId="0" borderId="0" xfId="0" applyFont="1"/>
    <xf numFmtId="14" fontId="11" fillId="0" borderId="0" xfId="0" applyNumberFormat="1" applyFont="1"/>
    <xf numFmtId="4" fontId="11" fillId="0" borderId="0" xfId="0" applyNumberFormat="1" applyFont="1"/>
    <xf numFmtId="0" fontId="5" fillId="12" borderId="3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vertical="top"/>
    </xf>
    <xf numFmtId="0" fontId="5" fillId="12" borderId="4" xfId="0" applyFont="1" applyFill="1" applyBorder="1" applyAlignment="1">
      <alignment horizontal="center" vertical="top"/>
    </xf>
    <xf numFmtId="0" fontId="5" fillId="12" borderId="5" xfId="0" applyFont="1" applyFill="1" applyBorder="1" applyAlignment="1">
      <alignment horizontal="center" vertical="top"/>
    </xf>
    <xf numFmtId="0" fontId="21" fillId="0" borderId="7" xfId="0" applyFont="1" applyBorder="1" applyAlignment="1">
      <alignment vertical="top"/>
    </xf>
    <xf numFmtId="0" fontId="20" fillId="0" borderId="6" xfId="0" applyFont="1" applyBorder="1" applyAlignment="1">
      <alignment horizontal="center" vertical="top"/>
    </xf>
    <xf numFmtId="0" fontId="22" fillId="0" borderId="7" xfId="0" applyFont="1" applyBorder="1" applyAlignment="1">
      <alignment vertical="top"/>
    </xf>
    <xf numFmtId="0" fontId="23" fillId="0" borderId="8" xfId="0" applyFont="1" applyBorder="1" applyAlignment="1">
      <alignment vertical="top"/>
    </xf>
    <xf numFmtId="0" fontId="7" fillId="0" borderId="8" xfId="0" quotePrefix="1" applyFont="1" applyBorder="1"/>
    <xf numFmtId="0" fontId="24" fillId="1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25" fillId="0" borderId="0" xfId="0" applyFont="1"/>
    <xf numFmtId="0" fontId="26" fillId="0" borderId="0" xfId="0" applyFont="1"/>
    <xf numFmtId="0" fontId="11" fillId="8" borderId="9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0" fillId="17" borderId="7" xfId="0" applyFill="1" applyBorder="1"/>
    <xf numFmtId="0" fontId="0" fillId="0" borderId="7" xfId="0" applyBorder="1"/>
    <xf numFmtId="0" fontId="0" fillId="17" borderId="17" xfId="0" applyFill="1" applyBorder="1"/>
    <xf numFmtId="0" fontId="15" fillId="10" borderId="16" xfId="0" applyFont="1" applyFill="1" applyBorder="1" applyAlignment="1">
      <alignment horizontal="center" vertical="center" wrapText="1"/>
    </xf>
    <xf numFmtId="0" fontId="27" fillId="0" borderId="0" xfId="0" applyFont="1"/>
    <xf numFmtId="14" fontId="28" fillId="0" borderId="0" xfId="0" applyNumberFormat="1" applyFont="1"/>
    <xf numFmtId="0" fontId="0" fillId="0" borderId="0" xfId="0" quotePrefix="1"/>
    <xf numFmtId="0" fontId="4" fillId="11" borderId="18" xfId="0" quotePrefix="1" applyFont="1" applyFill="1" applyBorder="1" applyAlignment="1">
      <alignment horizontal="left" vertical="center" wrapText="1"/>
    </xf>
    <xf numFmtId="0" fontId="4" fillId="11" borderId="18" xfId="0" quotePrefix="1" applyFont="1" applyFill="1" applyBorder="1" applyAlignment="1">
      <alignment horizontal="righ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11" borderId="16" xfId="0" quotePrefix="1" applyFont="1" applyFill="1" applyBorder="1" applyAlignment="1">
      <alignment horizontal="right" vertical="center" wrapText="1"/>
    </xf>
    <xf numFmtId="0" fontId="29" fillId="11" borderId="18" xfId="0" quotePrefix="1" applyFont="1" applyFill="1" applyBorder="1" applyAlignment="1">
      <alignment horizontal="left" vertical="center" wrapText="1"/>
    </xf>
    <xf numFmtId="14" fontId="30" fillId="18" borderId="1" xfId="0" applyNumberFormat="1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10" fillId="3" borderId="0" xfId="0" applyFont="1" applyFill="1" applyAlignment="1">
      <alignment horizontal="left" vertical="center" wrapText="1"/>
    </xf>
    <xf numFmtId="0" fontId="3" fillId="14" borderId="0" xfId="0" applyFont="1" applyFill="1"/>
    <xf numFmtId="0" fontId="10" fillId="15" borderId="0" xfId="0" applyFont="1" applyFill="1"/>
    <xf numFmtId="0" fontId="1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0" fillId="15" borderId="0" xfId="0" applyFont="1" applyFill="1" applyAlignment="1">
      <alignment wrapText="1"/>
    </xf>
    <xf numFmtId="0" fontId="20" fillId="15" borderId="0" xfId="0" applyFont="1" applyFill="1"/>
    <xf numFmtId="0" fontId="31" fillId="19" borderId="0" xfId="0" applyFont="1" applyFill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indent="3" readingOrder="1"/>
    </xf>
    <xf numFmtId="0" fontId="33" fillId="0" borderId="0" xfId="0" applyFont="1"/>
    <xf numFmtId="0" fontId="34" fillId="0" borderId="0" xfId="0" applyFont="1" applyAlignment="1">
      <alignment horizontal="left" vertical="center" readingOrder="1"/>
    </xf>
    <xf numFmtId="0" fontId="30" fillId="8" borderId="1" xfId="0" applyFont="1" applyFill="1" applyBorder="1" applyAlignment="1">
      <alignment horizontal="left" vertical="center" wrapText="1"/>
    </xf>
    <xf numFmtId="2" fontId="0" fillId="0" borderId="0" xfId="0" applyNumberFormat="1"/>
    <xf numFmtId="0" fontId="0" fillId="18" borderId="0" xfId="0" applyFill="1"/>
    <xf numFmtId="0" fontId="35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C2D0A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" formatCode="0"/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8B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ata-2026/Client-2026/REVATURE-KPMG-OperationAnalyst/Week1-ExcelFoundation/MyDay_KPMG_W1_Day1_Practice.xlsx" TargetMode="External"/><Relationship Id="rId2" Type="http://schemas.openxmlformats.org/officeDocument/2006/relationships/externalLinkPath" Target="/Users/ashujauhari/Data-2026/Client-2026/REVATURE-KPMG-OperationAnalyst/Week1-ExcelFoundation/MyDay_KPMG_W1_Day1_Practice.xlsx" TargetMode="External"/><Relationship Id="rId1" Type="http://schemas.openxmlformats.org/officeDocument/2006/relationships/externalLinkPath" Target="/Users/ashujauhari/Data-2026/Client-2026/REVATURE-KPMG-OperationAnalyst/Week1-ExcelFoundation/MyDay_KPMG_W1_Day1_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y 1"/>
      <sheetName val="Currency"/>
      <sheetName val="Instructions"/>
      <sheetName val="Raw_Data"/>
      <sheetName val="PeriodOverPeriod"/>
      <sheetName val="Cleaned_Data-Week1- Day 2"/>
      <sheetName val="Cleaned_Data-Week1- Day1"/>
      <sheetName val="Cleaned_Data-Pivot"/>
      <sheetName val="Pivot Sheet"/>
      <sheetName val="Cleaned_Data"/>
      <sheetName val="Sorting_Lab"/>
      <sheetName val="Recon_Demo"/>
    </sheetNames>
    <sheetDataSet>
      <sheetData sheetId="0"/>
      <sheetData sheetId="1"/>
      <sheetData sheetId="2"/>
      <sheetData sheetId="3">
        <row r="2">
          <cell r="A2" t="str">
            <v>CUST-1001</v>
          </cell>
          <cell r="B2" t="str">
            <v>ACC-884521</v>
          </cell>
          <cell r="C2" t="str">
            <v>Priya Sharma</v>
          </cell>
          <cell r="D2" t="str">
            <v>2026-08-01</v>
          </cell>
          <cell r="E2" t="str">
            <v>Credit</v>
          </cell>
          <cell r="F2" t="str">
            <v>15000</v>
          </cell>
          <cell r="G2" t="str">
            <v>INR</v>
          </cell>
          <cell r="H2" t="str">
            <v>BRN-01</v>
          </cell>
          <cell r="I2" t="str">
            <v>TXN-0001</v>
          </cell>
          <cell r="J2" t="str">
            <v>Salary credit for August</v>
          </cell>
        </row>
        <row r="3">
          <cell r="A3" t="str">
            <v>CUST-1002</v>
          </cell>
          <cell r="B3" t="str">
            <v>ACC-774832</v>
          </cell>
          <cell r="C3" t="str">
            <v xml:space="preserve">  RAHUL MEHTA  </v>
          </cell>
          <cell r="D3" t="str">
            <v>2026-08-02</v>
          </cell>
          <cell r="E3" t="str">
            <v>DEBIT</v>
          </cell>
          <cell r="F3" t="str">
            <v>$8,500.00</v>
          </cell>
          <cell r="G3" t="str">
            <v>INR</v>
          </cell>
          <cell r="H3" t="str">
            <v>BRN-02</v>
          </cell>
          <cell r="I3" t="str">
            <v>TXN-0002</v>
          </cell>
          <cell r="J3" t="str">
            <v xml:space="preserve">  Online transfer to vendor  </v>
          </cell>
        </row>
        <row r="4">
          <cell r="A4" t="str">
            <v>1003</v>
          </cell>
          <cell r="B4" t="str">
            <v>ACC-663741</v>
          </cell>
          <cell r="C4" t="str">
            <v>ananya iyer</v>
          </cell>
          <cell r="D4" t="str">
            <v>01/08/2026</v>
          </cell>
          <cell r="E4" t="str">
            <v>credit</v>
          </cell>
          <cell r="F4" t="str">
            <v>22000</v>
          </cell>
          <cell r="G4" t="str">
            <v>INR</v>
          </cell>
          <cell r="I4" t="str">
            <v>TXN-0003</v>
          </cell>
          <cell r="J4" t="str">
            <v>Loan disbursement [SYS]</v>
          </cell>
        </row>
        <row r="5">
          <cell r="A5" t="str">
            <v>CUST-1004</v>
          </cell>
          <cell r="B5" t="str">
            <v>ACC-552630</v>
          </cell>
          <cell r="C5" t="str">
            <v>Vikram Singh</v>
          </cell>
          <cell r="D5" t="str">
            <v>2026-08-04</v>
          </cell>
          <cell r="E5" t="str">
            <v>Debit</v>
          </cell>
          <cell r="F5" t="str">
            <v>3750</v>
          </cell>
          <cell r="G5" t="str">
            <v>INR</v>
          </cell>
          <cell r="H5" t="str">
            <v>BRN-01</v>
          </cell>
          <cell r="I5" t="str">
            <v>TXN-0004</v>
          </cell>
          <cell r="J5" t="str">
            <v>ATM withdrawal</v>
          </cell>
        </row>
        <row r="6">
          <cell r="A6" t="str">
            <v>CUST-1005</v>
          </cell>
          <cell r="B6" t="str">
            <v>ACC-441519</v>
          </cell>
          <cell r="C6" t="str">
            <v>Sneha Nair</v>
          </cell>
          <cell r="D6" t="str">
            <v>2026-08-05</v>
          </cell>
          <cell r="E6" t="str">
            <v>Credit</v>
          </cell>
          <cell r="F6" t="str">
            <v>9800</v>
          </cell>
          <cell r="G6" t="str">
            <v>INR</v>
          </cell>
          <cell r="H6" t="str">
            <v>BRN-03</v>
          </cell>
          <cell r="I6" t="str">
            <v>TXN-0003</v>
          </cell>
          <cell r="J6" t="str">
            <v>Freelance payment received</v>
          </cell>
        </row>
        <row r="7">
          <cell r="A7" t="str">
            <v>CUST -1006</v>
          </cell>
          <cell r="B7" t="str">
            <v>ACC-330408</v>
          </cell>
          <cell r="C7" t="str">
            <v>AMIT PATEL</v>
          </cell>
          <cell r="D7" t="str">
            <v>2026-08-06</v>
          </cell>
          <cell r="E7" t="str">
            <v>DEBIT</v>
          </cell>
          <cell r="F7" t="str">
            <v>1,200.50</v>
          </cell>
          <cell r="G7" t="str">
            <v>INR</v>
          </cell>
          <cell r="H7" t="str">
            <v>BRN-02</v>
          </cell>
          <cell r="I7" t="str">
            <v>TXN-0006</v>
          </cell>
          <cell r="J7" t="str">
            <v>Utility bill payment</v>
          </cell>
        </row>
        <row r="8">
          <cell r="A8" t="str">
            <v>CUST-1007</v>
          </cell>
          <cell r="B8" t="str">
            <v>ACC-229397</v>
          </cell>
          <cell r="C8" t="str">
            <v>ritu gupta</v>
          </cell>
          <cell r="D8" t="str">
            <v>2026-08-07</v>
          </cell>
          <cell r="E8" t="str">
            <v>debit</v>
          </cell>
          <cell r="F8" t="str">
            <v>500</v>
          </cell>
          <cell r="G8" t="str">
            <v>INR</v>
          </cell>
          <cell r="H8" t="str">
            <v>BRN-04</v>
          </cell>
          <cell r="I8" t="str">
            <v>TXN-0007</v>
          </cell>
          <cell r="J8" t="str">
            <v>Coffee  shop  payment</v>
          </cell>
        </row>
        <row r="9">
          <cell r="A9" t="str">
            <v>CUST-1008</v>
          </cell>
          <cell r="B9" t="str">
            <v>ACC-118286</v>
          </cell>
          <cell r="C9" t="str">
            <v>Deepak Verma</v>
          </cell>
          <cell r="D9" t="str">
            <v>08-Aug-2026</v>
          </cell>
          <cell r="E9" t="str">
            <v>Credit</v>
          </cell>
          <cell r="F9" t="str">
            <v>$45,000</v>
          </cell>
          <cell r="G9" t="str">
            <v>INR</v>
          </cell>
          <cell r="I9" t="str">
            <v>TXN-0008</v>
          </cell>
          <cell r="J9" t="str">
            <v xml:space="preserve">Property rent collected extra </v>
          </cell>
        </row>
        <row r="10">
          <cell r="A10" t="str">
            <v>CUST-1009</v>
          </cell>
          <cell r="B10" t="str">
            <v>ACC-007175</v>
          </cell>
          <cell r="C10" t="str">
            <v>MEENA KRISHNAN</v>
          </cell>
          <cell r="D10" t="str">
            <v>2026-08-09</v>
          </cell>
          <cell r="E10" t="str">
            <v>Debit</v>
          </cell>
          <cell r="F10" t="str">
            <v>$2,300.00</v>
          </cell>
          <cell r="G10" t="str">
            <v>INR</v>
          </cell>
          <cell r="H10" t="str">
            <v>BRN-03</v>
          </cell>
          <cell r="I10" t="str">
            <v>TXN-0009</v>
          </cell>
          <cell r="J10" t="str">
            <v>Insurance premium paid</v>
          </cell>
        </row>
        <row r="11">
          <cell r="A11" t="str">
            <v>CUST-1010</v>
          </cell>
          <cell r="B11" t="str">
            <v>ACC-996064</v>
          </cell>
          <cell r="C11" t="str">
            <v xml:space="preserve"> Arjun  Bose </v>
          </cell>
          <cell r="D11" t="str">
            <v>2026-08-10</v>
          </cell>
          <cell r="E11" t="str">
            <v>Credit</v>
          </cell>
          <cell r="F11" t="str">
            <v>11000</v>
          </cell>
          <cell r="G11" t="str">
            <v>INR</v>
          </cell>
          <cell r="H11" t="str">
            <v>BRN-01</v>
          </cell>
          <cell r="I11" t="str">
            <v>TXN-0010</v>
          </cell>
          <cell r="J11" t="str">
            <v>Dividend received</v>
          </cell>
        </row>
        <row r="12">
          <cell r="A12" t="str">
            <v>1011</v>
          </cell>
          <cell r="B12" t="str">
            <v>ACC-885953</v>
          </cell>
          <cell r="C12" t="str">
            <v>kavya reddy</v>
          </cell>
          <cell r="D12" t="str">
            <v>2026-08-11</v>
          </cell>
          <cell r="E12" t="str">
            <v>debit</v>
          </cell>
          <cell r="F12" t="str">
            <v>750</v>
          </cell>
          <cell r="G12" t="str">
            <v>INR</v>
          </cell>
          <cell r="H12" t="str">
            <v>BRN-05</v>
          </cell>
          <cell r="I12" t="str">
            <v>TXN-0011</v>
          </cell>
          <cell r="J12" t="str">
            <v>Supermarket purchase</v>
          </cell>
        </row>
        <row r="13">
          <cell r="A13" t="str">
            <v>CUST-1012</v>
          </cell>
          <cell r="B13" t="str">
            <v>ACC-774842</v>
          </cell>
          <cell r="C13" t="str">
            <v>SURESH PILLAI</v>
          </cell>
          <cell r="D13" t="str">
            <v>2026-08-12</v>
          </cell>
          <cell r="E13" t="str">
            <v>Credit</v>
          </cell>
          <cell r="F13" t="str">
            <v>N/A</v>
          </cell>
          <cell r="G13" t="str">
            <v>INR</v>
          </cell>
          <cell r="H13" t="str">
            <v>BRN-02</v>
          </cell>
          <cell r="I13" t="str">
            <v>TXN-0012</v>
          </cell>
          <cell r="J13" t="str">
            <v xml:space="preserve">  Pending credit  </v>
          </cell>
        </row>
        <row r="14">
          <cell r="A14" t="str">
            <v>1003</v>
          </cell>
          <cell r="B14" t="str">
            <v>ACC-663741</v>
          </cell>
          <cell r="C14" t="str">
            <v>ananya iyer</v>
          </cell>
          <cell r="D14" t="str">
            <v>01/08/2026</v>
          </cell>
          <cell r="E14" t="str">
            <v>credit</v>
          </cell>
          <cell r="G14" t="str">
            <v>INR</v>
          </cell>
          <cell r="I14" t="str">
            <v>TXN-0003</v>
          </cell>
          <cell r="J14" t="str">
            <v>Loan disbursement</v>
          </cell>
        </row>
        <row r="15">
          <cell r="A15" t="str">
            <v>CUST-1013</v>
          </cell>
          <cell r="B15" t="str">
            <v>ACC-553731</v>
          </cell>
          <cell r="C15" t="str">
            <v>Pooja Desai</v>
          </cell>
          <cell r="D15" t="str">
            <v>2026-08-14</v>
          </cell>
          <cell r="E15" t="str">
            <v>Debit</v>
          </cell>
          <cell r="F15" t="str">
            <v>4200</v>
          </cell>
          <cell r="G15" t="str">
            <v>INR</v>
          </cell>
          <cell r="H15" t="str">
            <v>BRN-04</v>
          </cell>
          <cell r="I15" t="str">
            <v>TXN-0013</v>
          </cell>
          <cell r="J15" t="str">
            <v>EMI payment</v>
          </cell>
        </row>
        <row r="16">
          <cell r="A16" t="str">
            <v>CUST-1014</v>
          </cell>
          <cell r="B16" t="str">
            <v>ACC-442620</v>
          </cell>
          <cell r="C16" t="str">
            <v>NIKHIL JOSHI</v>
          </cell>
          <cell r="D16" t="str">
            <v>2026-08-15</v>
          </cell>
          <cell r="E16" t="str">
            <v>CREDIT</v>
          </cell>
          <cell r="F16" t="str">
            <v>$18,900</v>
          </cell>
          <cell r="G16" t="str">
            <v>INR</v>
          </cell>
          <cell r="H16" t="str">
            <v>BRN-01</v>
          </cell>
          <cell r="I16" t="str">
            <v>TXN-0014</v>
          </cell>
          <cell r="J16" t="str">
            <v>Consulting fees</v>
          </cell>
        </row>
        <row r="17">
          <cell r="A17" t="str">
            <v>1015</v>
          </cell>
          <cell r="B17" t="str">
            <v>ACC-331509</v>
          </cell>
          <cell r="C17" t="str">
            <v>preethi menon</v>
          </cell>
          <cell r="D17" t="str">
            <v>2026-08-16</v>
          </cell>
          <cell r="E17" t="str">
            <v>debit</v>
          </cell>
          <cell r="F17" t="str">
            <v>250</v>
          </cell>
          <cell r="G17" t="str">
            <v>INR</v>
          </cell>
          <cell r="I17" t="str">
            <v>TXN-0015</v>
          </cell>
          <cell r="J17" t="str">
            <v xml:space="preserve">  Food delivery  </v>
          </cell>
        </row>
        <row r="18">
          <cell r="A18" t="str">
            <v>CUST-1016</v>
          </cell>
          <cell r="B18" t="str">
            <v>ACC-220398</v>
          </cell>
          <cell r="C18" t="str">
            <v>Rohit  Kumar</v>
          </cell>
          <cell r="D18" t="str">
            <v>2026-08-17</v>
          </cell>
          <cell r="E18" t="str">
            <v>Credit</v>
          </cell>
          <cell r="F18" t="str">
            <v>8000</v>
          </cell>
          <cell r="G18" t="str">
            <v>INR</v>
          </cell>
          <cell r="H18" t="str">
            <v>BRN-03</v>
          </cell>
          <cell r="I18" t="str">
            <v>TXN-0016</v>
          </cell>
          <cell r="J18" t="str">
            <v>Part-time income</v>
          </cell>
        </row>
        <row r="19">
          <cell r="A19" t="str">
            <v>CUST-1002</v>
          </cell>
          <cell r="B19" t="str">
            <v>ACC-774832</v>
          </cell>
          <cell r="C19" t="str">
            <v xml:space="preserve">  RAHUL MEHTA  </v>
          </cell>
          <cell r="D19" t="str">
            <v>2026-08-02</v>
          </cell>
          <cell r="E19" t="str">
            <v>DEBIT</v>
          </cell>
          <cell r="F19" t="str">
            <v>$8,500.00</v>
          </cell>
          <cell r="G19" t="str">
            <v>INR</v>
          </cell>
          <cell r="H19" t="str">
            <v>BRN-02</v>
          </cell>
          <cell r="I19" t="str">
            <v>TXN-0002</v>
          </cell>
          <cell r="J19" t="str">
            <v xml:space="preserve">  Online transfer to vendor  </v>
          </cell>
        </row>
        <row r="20">
          <cell r="A20" t="str">
            <v>CUST-1017</v>
          </cell>
          <cell r="B20" t="str">
            <v>ACC-119287</v>
          </cell>
          <cell r="C20" t="str">
            <v>LAKSHMI RAO</v>
          </cell>
          <cell r="D20" t="str">
            <v>2026-08-19</v>
          </cell>
          <cell r="E20" t="str">
            <v>Debit</v>
          </cell>
          <cell r="F20" t="str">
            <v>1,050</v>
          </cell>
          <cell r="G20" t="str">
            <v>INR</v>
          </cell>
          <cell r="H20" t="str">
            <v>BRN-05</v>
          </cell>
          <cell r="I20" t="str">
            <v>TXN-0017</v>
          </cell>
          <cell r="J20" t="str">
            <v>Mobile recharge</v>
          </cell>
        </row>
        <row r="21">
          <cell r="A21" t="str">
            <v>CUST-1018</v>
          </cell>
          <cell r="B21" t="str">
            <v>ACC-008176</v>
          </cell>
          <cell r="C21" t="str">
            <v>Harsh Vardhan</v>
          </cell>
          <cell r="D21" t="str">
            <v>2026-08-20</v>
          </cell>
          <cell r="E21" t="str">
            <v>Credit</v>
          </cell>
          <cell r="F21" t="str">
            <v>30000</v>
          </cell>
          <cell r="G21" t="str">
            <v>INR</v>
          </cell>
          <cell r="H21" t="str">
            <v>BRN-02</v>
          </cell>
          <cell r="I21" t="str">
            <v>TXN-0018</v>
          </cell>
          <cell r="J21" t="str">
            <v>Quarterly bonus</v>
          </cell>
        </row>
        <row r="22">
          <cell r="A22" t="str">
            <v>CUST-1019</v>
          </cell>
          <cell r="B22" t="str">
            <v>ACC-997065</v>
          </cell>
          <cell r="C22" t="str">
            <v>DIVYA NAMBIAR</v>
          </cell>
          <cell r="D22" t="str">
            <v>21-Aug-2026</v>
          </cell>
          <cell r="E22" t="str">
            <v>DEBIT</v>
          </cell>
          <cell r="F22" t="str">
            <v>$600</v>
          </cell>
          <cell r="G22" t="str">
            <v>INR</v>
          </cell>
          <cell r="I22" t="str">
            <v>TXN-0019</v>
          </cell>
          <cell r="J22" t="str">
            <v>Grocery shopping</v>
          </cell>
        </row>
        <row r="23">
          <cell r="A23" t="str">
            <v xml:space="preserve"> CUST-1020</v>
          </cell>
          <cell r="B23" t="str">
            <v>ACC-886954</v>
          </cell>
          <cell r="C23" t="str">
            <v>sanjay kapoor</v>
          </cell>
          <cell r="D23" t="str">
            <v>2026-08-22</v>
          </cell>
          <cell r="E23" t="str">
            <v>credit</v>
          </cell>
          <cell r="F23" t="str">
            <v>5500</v>
          </cell>
          <cell r="G23" t="str">
            <v>INR</v>
          </cell>
          <cell r="H23" t="str">
            <v>BRN-01</v>
          </cell>
          <cell r="I23" t="str">
            <v>TXN-0020</v>
          </cell>
          <cell r="J23" t="str">
            <v xml:space="preserve">  Freelance invoice  </v>
          </cell>
        </row>
        <row r="24">
          <cell r="A24" t="str">
            <v>CUST-1021</v>
          </cell>
          <cell r="B24" t="str">
            <v>ACC-775843</v>
          </cell>
          <cell r="C24" t="str">
            <v>RADHA KRISHNA</v>
          </cell>
          <cell r="D24" t="str">
            <v>2026-08-23</v>
          </cell>
          <cell r="E24" t="str">
            <v>Credit</v>
          </cell>
          <cell r="F24" t="str">
            <v>12,750</v>
          </cell>
          <cell r="G24" t="str">
            <v>INR</v>
          </cell>
          <cell r="H24" t="str">
            <v>BRN-03</v>
          </cell>
          <cell r="I24" t="str">
            <v>TXN-0021</v>
          </cell>
          <cell r="J24" t="str">
            <v>Rental income</v>
          </cell>
        </row>
        <row r="25">
          <cell r="A25" t="str">
            <v>1022</v>
          </cell>
          <cell r="B25" t="str">
            <v>ACC-664732</v>
          </cell>
          <cell r="C25" t="str">
            <v>mohan lal</v>
          </cell>
          <cell r="D25" t="str">
            <v>2026-08-24</v>
          </cell>
          <cell r="E25" t="str">
            <v>debit</v>
          </cell>
          <cell r="F25" t="str">
            <v>900</v>
          </cell>
          <cell r="G25" t="str">
            <v>INR</v>
          </cell>
          <cell r="H25" t="str">
            <v>BRN-04</v>
          </cell>
          <cell r="I25" t="str">
            <v>TXN-0022</v>
          </cell>
          <cell r="J25" t="str">
            <v>Book purchase</v>
          </cell>
        </row>
        <row r="26">
          <cell r="A26" t="str">
            <v>CUST-1023</v>
          </cell>
          <cell r="B26" t="str">
            <v>ACC-553621</v>
          </cell>
          <cell r="C26" t="str">
            <v>Geeta Pillai</v>
          </cell>
          <cell r="D26" t="str">
            <v>2026-08-25</v>
          </cell>
          <cell r="E26" t="str">
            <v xml:space="preserve">Debit  </v>
          </cell>
          <cell r="F26" t="str">
            <v>2100</v>
          </cell>
          <cell r="G26" t="str">
            <v>INR</v>
          </cell>
          <cell r="I26" t="str">
            <v>TXN-0023</v>
          </cell>
          <cell r="J26" t="str">
            <v>School fees</v>
          </cell>
        </row>
        <row r="27">
          <cell r="A27" t="str">
            <v>CUST -1024</v>
          </cell>
          <cell r="B27" t="str">
            <v>ACC-442510</v>
          </cell>
          <cell r="C27" t="str">
            <v>KIRAN BHAT</v>
          </cell>
          <cell r="D27" t="str">
            <v>2026-08-25</v>
          </cell>
          <cell r="E27" t="str">
            <v>CREDIT</v>
          </cell>
          <cell r="F27" t="str">
            <v>$7,200.00</v>
          </cell>
          <cell r="G27" t="str">
            <v>INR</v>
          </cell>
          <cell r="H27" t="str">
            <v>BRN-02</v>
          </cell>
          <cell r="I27" t="str">
            <v>TXN-0024</v>
          </cell>
          <cell r="J27" t="str">
            <v>Dividend credit</v>
          </cell>
        </row>
        <row r="28">
          <cell r="A28" t="str">
            <v>CUST-1025</v>
          </cell>
          <cell r="B28" t="str">
            <v>ACC-331399</v>
          </cell>
          <cell r="C28" t="str">
            <v>nisha thomas</v>
          </cell>
          <cell r="D28" t="str">
            <v>2026-08-25</v>
          </cell>
          <cell r="E28" t="str">
            <v>debit</v>
          </cell>
          <cell r="F28" t="str">
            <v>$350</v>
          </cell>
          <cell r="G28" t="str">
            <v>INR</v>
          </cell>
          <cell r="H28" t="str">
            <v>BRN-05</v>
          </cell>
          <cell r="I28" t="str">
            <v>TXN-0025</v>
          </cell>
          <cell r="J28" t="str">
            <v>Streaming subscription</v>
          </cell>
        </row>
        <row r="29">
          <cell r="A29" t="str">
            <v>CUST-1026</v>
          </cell>
          <cell r="B29" t="str">
            <v>ACC-220288</v>
          </cell>
          <cell r="C29" t="str">
            <v>VISHAL AGARWAL</v>
          </cell>
          <cell r="D29" t="str">
            <v>2026-08-25</v>
          </cell>
          <cell r="E29" t="str">
            <v>Credit</v>
          </cell>
          <cell r="F29" t="str">
            <v>25000</v>
          </cell>
          <cell r="G29" t="str">
            <v>INR</v>
          </cell>
          <cell r="H29" t="str">
            <v>BRN-01</v>
          </cell>
          <cell r="I29" t="str">
            <v>TXN-0026</v>
          </cell>
          <cell r="J29" t="str">
            <v xml:space="preserve">   Project bonus   </v>
          </cell>
        </row>
        <row r="30">
          <cell r="A30" t="str">
            <v>CUST-1027</v>
          </cell>
          <cell r="B30" t="str">
            <v>ACC-119177</v>
          </cell>
          <cell r="C30" t="str">
            <v>Sunita Rao</v>
          </cell>
          <cell r="D30" t="str">
            <v>2026-08-25</v>
          </cell>
          <cell r="E30" t="str">
            <v>Debit</v>
          </cell>
          <cell r="F30" t="str">
            <v>1800</v>
          </cell>
          <cell r="G30" t="str">
            <v>INR</v>
          </cell>
          <cell r="H30" t="str">
            <v>BRN-03</v>
          </cell>
          <cell r="I30" t="str">
            <v>TXN-0027</v>
          </cell>
          <cell r="J30" t="str">
            <v>Monthly subscription</v>
          </cell>
        </row>
        <row r="31">
          <cell r="A31" t="str">
            <v>1028</v>
          </cell>
          <cell r="B31" t="str">
            <v>ACC-008066</v>
          </cell>
          <cell r="C31" t="str">
            <v>rajan pillai</v>
          </cell>
          <cell r="D31" t="str">
            <v>25/08/2026</v>
          </cell>
          <cell r="E31" t="str">
            <v>credit</v>
          </cell>
          <cell r="F31" t="str">
            <v>14000</v>
          </cell>
          <cell r="G31" t="str">
            <v>INR</v>
          </cell>
          <cell r="H31" t="str">
            <v>BRN-04</v>
          </cell>
          <cell r="I31" t="str">
            <v>TXN-0028</v>
          </cell>
          <cell r="J31" t="str">
            <v>Salary advance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7A313-6BBC-0F49-A598-98731A508B47}" name="Table2" displayName="Table2" ref="A1:K32" totalsRowCount="1" headerRowDxfId="26" dataDxfId="24" headerRowBorderDxfId="25" tableBorderDxfId="23" totalsRowBorderDxfId="22">
  <autoFilter ref="A1:K31" xr:uid="{2D87A313-6BBC-0F49-A598-98731A508B47}"/>
  <tableColumns count="11">
    <tableColumn id="1" xr3:uid="{03E99A06-B97C-6F42-8832-56901500EB95}" name="Customer_ID_Clean" dataDxfId="21" totalsRowDxfId="20">
      <calculatedColumnFormula>IF(LEFT(TRIM(Raw_Data!A2),5)="CUST-",UPPER(TRIM(Raw_Data!A2)),"CUST-"&amp;UPPER(TRIM(Raw_Data!A2)))</calculatedColumnFormula>
    </tableColumn>
    <tableColumn id="2" xr3:uid="{4F64A5E4-87BF-9046-9406-028C9F5D086B}" name="Account_Number" dataDxfId="19" totalsRowDxfId="18">
      <calculatedColumnFormula>Raw_Data!B2</calculatedColumnFormula>
    </tableColumn>
    <tableColumn id="3" xr3:uid="{7FE9B1C5-04A5-F04C-8146-55F3DB3953D8}" name="Customer_Name_Clean" dataDxfId="17" totalsRowDxfId="16">
      <calculatedColumnFormula>PROPER(TRIM(CLEAN(Raw_Data!C2)))</calculatedColumnFormula>
    </tableColumn>
    <tableColumn id="4" xr3:uid="{CAD3F16C-1AD2-C44A-9BBB-4D81FF648196}" name="Transaction_Date" dataDxfId="15" totalsRowDxfId="14">
      <calculatedColumnFormula>Raw_Data!D2</calculatedColumnFormula>
    </tableColumn>
    <tableColumn id="5" xr3:uid="{A147BFC7-F43E-2843-BC25-2D5A2110A9E4}" name="Transaction_Type_Clean" dataDxfId="13" totalsRowDxfId="12">
      <calculatedColumnFormula>PROPER(TRIM(Raw_Data!E2))</calculatedColumnFormula>
    </tableColumn>
    <tableColumn id="6" xr3:uid="{11547732-B736-E24D-8D90-CFD7AF54D76E}" name="Amount_Clean" dataDxfId="11" totalsRowDxfId="10">
      <calculatedColumnFormula>IFERROR(VALUE(SUBSTITUTE(SUBSTITUTE(TRIM(Raw_Data!F2),"$",""),",","")),"CHECK")</calculatedColumnFormula>
    </tableColumn>
    <tableColumn id="7" xr3:uid="{A872C469-B6D2-1A4A-9AD2-0258407C1CA6}" name="Currency" dataDxfId="9" totalsRowDxfId="8">
      <calculatedColumnFormula>Raw_Data!G2</calculatedColumnFormula>
    </tableColumn>
    <tableColumn id="8" xr3:uid="{C1744615-436E-ED4A-B771-FBE3463CF564}" name="Branch_Code_Clean" dataDxfId="7" totalsRowDxfId="6">
      <calculatedColumnFormula>IF(TRIM(Raw_Data!H2)="","UNKNOWN",TRIM(Raw_Data!H2))</calculatedColumnFormula>
    </tableColumn>
    <tableColumn id="9" xr3:uid="{B96ABEA8-6AF5-DD42-8E64-5DF3140FACDE}" name="Transaction_ID" dataDxfId="5" totalsRowDxfId="4">
      <calculatedColumnFormula>Raw_Data!I2</calculatedColumnFormula>
    </tableColumn>
    <tableColumn id="10" xr3:uid="{262B6DAC-BC71-464D-BC07-91DB985B267D}" name="Notes_Clean" dataDxfId="3" totalsRowDxfId="2">
      <calculatedColumnFormula>PROPER(TRIM(CLEAN(Raw_Data!J2)))</calculatedColumnFormula>
    </tableColumn>
    <tableColumn id="12" xr3:uid="{C17BBA40-8288-1C4F-A63B-A527583DF78E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6643-3621-6743-8BC1-9A3F38661209}">
  <dimension ref="A1:M46"/>
  <sheetViews>
    <sheetView showGridLines="0" zoomScaleNormal="100" workbookViewId="0">
      <pane ySplit="1" topLeftCell="A2" activePane="bottomLeft" state="frozen"/>
      <selection pane="bottomLeft" activeCell="E28" sqref="E28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24" customWidth="1"/>
    <col min="6" max="6" width="15.33203125" customWidth="1"/>
    <col min="7" max="7" width="11" customWidth="1"/>
    <col min="8" max="8" width="20.1640625" customWidth="1"/>
    <col min="9" max="9" width="18" customWidth="1"/>
    <col min="10" max="10" width="25.83203125" customWidth="1"/>
    <col min="12" max="12" width="15.6640625" customWidth="1"/>
    <col min="13" max="13" width="10.83203125" customWidth="1"/>
  </cols>
  <sheetData>
    <row r="1" spans="1:13" ht="27.75" customHeight="1" x14ac:dyDescent="0.2">
      <c r="A1" s="59" t="s">
        <v>280</v>
      </c>
      <c r="B1" s="54" t="s">
        <v>36</v>
      </c>
      <c r="C1" s="54" t="s">
        <v>281</v>
      </c>
      <c r="D1" s="54" t="s">
        <v>38</v>
      </c>
      <c r="E1" s="54" t="s">
        <v>282</v>
      </c>
      <c r="F1" s="54" t="s">
        <v>283</v>
      </c>
      <c r="G1" s="54" t="s">
        <v>41</v>
      </c>
      <c r="H1" s="54" t="s">
        <v>284</v>
      </c>
      <c r="I1" s="54" t="s">
        <v>43</v>
      </c>
      <c r="J1" s="60" t="s">
        <v>285</v>
      </c>
      <c r="K1" s="54" t="s">
        <v>412</v>
      </c>
    </row>
    <row r="2" spans="1:13" ht="18" customHeight="1" x14ac:dyDescent="0.2">
      <c r="A2" s="56" t="str">
        <f>IF(LEFT(TRIM(Raw_Data!A2),5)="CUST-",UPPER(TRIM(Raw_Data!A2)),"CUST-"&amp;UPPER(TRIM(Raw_Data!A2)))</f>
        <v>CUST-1001</v>
      </c>
      <c r="B2" s="10" t="str">
        <f>Raw_Data!B2</f>
        <v>ACC-884521</v>
      </c>
      <c r="C2" s="10" t="str">
        <f>PROPER(TRIM(CLEAN(Raw_Data!C2)))</f>
        <v>Priya Sharma</v>
      </c>
      <c r="D2" s="10" t="str">
        <f>Raw_Data!D2</f>
        <v>2026-08-01</v>
      </c>
      <c r="E2" s="10" t="str">
        <f>PROPER(TRIM(Raw_Data!E2))</f>
        <v>Credit</v>
      </c>
      <c r="F2" s="63">
        <f>IFERROR(VALUE(SUBSTITUTE(SUBSTITUTE(TRIM(Raw_Data!F2),"$",""),",","")),"CHECK")</f>
        <v>15000</v>
      </c>
      <c r="G2" s="10" t="str">
        <f>Raw_Data!G2</f>
        <v>INR</v>
      </c>
      <c r="H2" s="10" t="str">
        <f>IF(TRIM(Raw_Data!H2)="","UNKNOWN",TRIM(Raw_Data!H2))</f>
        <v>BRN-01</v>
      </c>
      <c r="I2" s="10" t="str">
        <f>Raw_Data!I2</f>
        <v>TXN-0001</v>
      </c>
      <c r="J2" s="57" t="str">
        <f>PROPER(TRIM(CLEAN(Raw_Data!J2)))</f>
        <v>Salary Credit For August</v>
      </c>
      <c r="K2" s="68"/>
      <c r="L2" s="20" t="str">
        <f>IF(COUNTIF($J$2:J2,J2)&gt;1,"DUPLICATE","OK")</f>
        <v>OK</v>
      </c>
      <c r="M2" s="65">
        <f>M4</f>
        <v>0</v>
      </c>
    </row>
    <row r="3" spans="1:13" ht="18" customHeight="1" x14ac:dyDescent="0.2">
      <c r="A3" s="56" t="str">
        <f>IF(LEFT(TRIM(Raw_Data!A3),5)="CUST-",UPPER(TRIM(Raw_Data!A3)),"CUST-"&amp;UPPER(TRIM(Raw_Data!A3)))</f>
        <v>CUST-1002</v>
      </c>
      <c r="B3" s="10" t="str">
        <f>Raw_Data!B3</f>
        <v>ACC-774832</v>
      </c>
      <c r="C3" s="10" t="str">
        <f>PROPER(TRIM(CLEAN(Raw_Data!C3)))</f>
        <v>Rahul Mehta</v>
      </c>
      <c r="D3" s="10" t="str">
        <f>Raw_Data!D3</f>
        <v>2026-08-02</v>
      </c>
      <c r="E3" s="10" t="str">
        <f>PROPER(TRIM(Raw_Data!E3))</f>
        <v>Debit</v>
      </c>
      <c r="F3" s="63">
        <f>IFERROR(VALUE(SUBSTITUTE(SUBSTITUTE(TRIM(Raw_Data!F3),"$",""),",","")),"CHECK")</f>
        <v>8500</v>
      </c>
      <c r="G3" s="10" t="str">
        <f>Raw_Data!G3</f>
        <v>INR</v>
      </c>
      <c r="H3" s="10" t="str">
        <f>IF(TRIM(Raw_Data!H3)="","UNKNOWN",TRIM(Raw_Data!H3))</f>
        <v>BRN-02</v>
      </c>
      <c r="I3" s="10" t="str">
        <f>Raw_Data!I3</f>
        <v>TXN-0002</v>
      </c>
      <c r="J3" s="58" t="str">
        <f>PROPER(TRIM(CLEAN(Raw_Data!J3)))</f>
        <v>Online Transfer To Vendor</v>
      </c>
      <c r="K3" s="10"/>
      <c r="L3" s="20" t="str">
        <f>IF(COUNTIF($J$2:J3,J3)&gt;1,"DUPLICATE","OK")</f>
        <v>OK</v>
      </c>
    </row>
    <row r="4" spans="1:13" ht="18" customHeight="1" x14ac:dyDescent="0.2">
      <c r="A4" s="56" t="str">
        <f>IF(LEFT(TRIM(Raw_Data!A4),5)="CUST-",UPPER(TRIM(Raw_Data!A4)),"CUST-"&amp;UPPER(TRIM(Raw_Data!A4)))</f>
        <v>CUST-1003</v>
      </c>
      <c r="B4" s="10" t="str">
        <f>Raw_Data!B4</f>
        <v>ACC-663741</v>
      </c>
      <c r="C4" s="10" t="str">
        <f>PROPER(TRIM(CLEAN(Raw_Data!C4)))</f>
        <v>Ananya Iyer</v>
      </c>
      <c r="D4" s="10" t="str">
        <f>Raw_Data!D4</f>
        <v>01/08/2026</v>
      </c>
      <c r="E4" s="10" t="str">
        <f>PROPER(TRIM(Raw_Data!E4))</f>
        <v>Credit</v>
      </c>
      <c r="F4" s="63">
        <f>IFERROR(VALUE(SUBSTITUTE(SUBSTITUTE(TRIM(Raw_Data!F4),"$",""),",","")),"CHECK")</f>
        <v>22000</v>
      </c>
      <c r="G4" s="10" t="str">
        <f>Raw_Data!G4</f>
        <v>INR</v>
      </c>
      <c r="H4" s="10" t="str">
        <f>IF(TRIM(Raw_Data!H4)="","UNKNOWN",TRIM(Raw_Data!H4))</f>
        <v>UNKNOWN</v>
      </c>
      <c r="I4" s="10" t="str">
        <f>Raw_Data!I4</f>
        <v>TXN-0003</v>
      </c>
      <c r="J4" s="57" t="str">
        <f>PROPER(TRIM(CLEAN(Raw_Data!J4)))</f>
        <v>Loan Disbursement [Sys]</v>
      </c>
      <c r="K4" s="10"/>
      <c r="L4" s="20" t="str">
        <f>IF(COUNTIF($J$2:J4,J4)&gt;1,"DUPLICATE","OK")</f>
        <v>OK</v>
      </c>
    </row>
    <row r="5" spans="1:13" ht="18" customHeight="1" x14ac:dyDescent="0.2">
      <c r="A5" s="56" t="str">
        <f>IF(LEFT(TRIM(Raw_Data!A5),5)="CUST-",UPPER(TRIM(Raw_Data!A5)),"CUST-"&amp;UPPER(TRIM(Raw_Data!A5)))</f>
        <v>CUST-1004</v>
      </c>
      <c r="B5" s="10" t="str">
        <f>Raw_Data!B5</f>
        <v>ACC-552630</v>
      </c>
      <c r="C5" s="10" t="str">
        <f>PROPER(TRIM(CLEAN(Raw_Data!C5)))</f>
        <v>Vikram Singh</v>
      </c>
      <c r="D5" s="10" t="str">
        <f>Raw_Data!D5</f>
        <v>2026-08-04</v>
      </c>
      <c r="E5" s="10" t="str">
        <f>PROPER(TRIM(Raw_Data!E5))</f>
        <v>Debit</v>
      </c>
      <c r="F5" s="63">
        <f>IFERROR(VALUE(SUBSTITUTE(SUBSTITUTE(TRIM(Raw_Data!F5),"$",""),",","")),"CHECK")</f>
        <v>3750</v>
      </c>
      <c r="G5" s="10" t="str">
        <f>Raw_Data!G5</f>
        <v>INR</v>
      </c>
      <c r="H5" s="10" t="str">
        <f>IF(TRIM(Raw_Data!H5)="","UNKNOWN",TRIM(Raw_Data!H5))</f>
        <v>BRN-01</v>
      </c>
      <c r="I5" s="10" t="str">
        <f>Raw_Data!I5</f>
        <v>TXN-0004</v>
      </c>
      <c r="J5" s="57" t="str">
        <f>PROPER(TRIM(CLEAN(Raw_Data!J5)))</f>
        <v>Atm Withdrawal</v>
      </c>
      <c r="K5" s="10"/>
      <c r="L5" s="20" t="str">
        <f>IF(COUNTIF($J$2:J5,J5)&gt;1,"DUPLICATE","OK")</f>
        <v>OK</v>
      </c>
    </row>
    <row r="6" spans="1:13" ht="18" customHeight="1" x14ac:dyDescent="0.2">
      <c r="A6" s="56" t="str">
        <f>IF(LEFT(TRIM(Raw_Data!A6),5)="CUST-",UPPER(TRIM(Raw_Data!A6)),"CUST-"&amp;UPPER(TRIM(Raw_Data!A6)))</f>
        <v>CUST-1005</v>
      </c>
      <c r="B6" s="10" t="str">
        <f>Raw_Data!B6</f>
        <v>ACC-441519</v>
      </c>
      <c r="C6" s="10" t="str">
        <f>PROPER(TRIM(CLEAN(Raw_Data!C6)))</f>
        <v>Sneha Nair</v>
      </c>
      <c r="D6" s="10" t="str">
        <f>Raw_Data!D6</f>
        <v>2026-08-05</v>
      </c>
      <c r="E6" s="10" t="str">
        <f>PROPER(TRIM(Raw_Data!E6))</f>
        <v>Credit</v>
      </c>
      <c r="F6" s="63">
        <f>IFERROR(VALUE(SUBSTITUTE(SUBSTITUTE(TRIM(Raw_Data!F6),"$",""),",","")),"CHECK")</f>
        <v>9800</v>
      </c>
      <c r="G6" s="10" t="str">
        <f>Raw_Data!G6</f>
        <v>INR</v>
      </c>
      <c r="H6" s="10" t="str">
        <f>IF(TRIM(Raw_Data!H6)="","UNKNOWN",TRIM(Raw_Data!H6))</f>
        <v>BRN-03</v>
      </c>
      <c r="I6" s="10" t="str">
        <f>Raw_Data!I6</f>
        <v>TXN-0003</v>
      </c>
      <c r="J6" s="57" t="str">
        <f>PROPER(TRIM(CLEAN(Raw_Data!J6)))</f>
        <v>Freelance Payment Received</v>
      </c>
      <c r="K6" s="10"/>
      <c r="L6" s="20" t="str">
        <f>IF(COUNTIF($J$2:J6,J6)&gt;1,"DUPLICATE","OK")</f>
        <v>OK</v>
      </c>
    </row>
    <row r="7" spans="1:13" ht="18" customHeight="1" x14ac:dyDescent="0.2">
      <c r="A7" s="56" t="str">
        <f>IF(LEFT(TRIM(Raw_Data!A7),5)="CUST-",UPPER(TRIM(Raw_Data!A7)),"CUST-"&amp;UPPER(TRIM(Raw_Data!A7)))</f>
        <v>CUST-CUST -1006</v>
      </c>
      <c r="B7" s="10" t="str">
        <f>Raw_Data!B7</f>
        <v>ACC-330408</v>
      </c>
      <c r="C7" s="10" t="str">
        <f>PROPER(TRIM(CLEAN(Raw_Data!C7)))</f>
        <v>Amit Patel</v>
      </c>
      <c r="D7" s="10" t="str">
        <f>Raw_Data!D7</f>
        <v>2026-08-06</v>
      </c>
      <c r="E7" s="10" t="str">
        <f>PROPER(TRIM(Raw_Data!E7))</f>
        <v>Debit</v>
      </c>
      <c r="F7" s="63">
        <f>IFERROR(VALUE(SUBSTITUTE(SUBSTITUTE(TRIM(Raw_Data!F7),"$",""),",","")),"CHECK")</f>
        <v>1200.5</v>
      </c>
      <c r="G7" s="10" t="str">
        <f>Raw_Data!G7</f>
        <v>INR</v>
      </c>
      <c r="H7" s="10" t="str">
        <f>IF(TRIM(Raw_Data!H7)="","UNKNOWN",TRIM(Raw_Data!H7))</f>
        <v>BRN-02</v>
      </c>
      <c r="I7" s="10" t="str">
        <f>Raw_Data!I7</f>
        <v>TXN-0006</v>
      </c>
      <c r="J7" s="57" t="str">
        <f>PROPER(TRIM(CLEAN(Raw_Data!J7)))</f>
        <v>Utility Bill Payment</v>
      </c>
      <c r="K7" s="10"/>
      <c r="L7" s="20" t="str">
        <f>IF(COUNTIF($J$2:J7,J7)&gt;1,"DUPLICATE","OK")</f>
        <v>OK</v>
      </c>
    </row>
    <row r="8" spans="1:13" ht="18" customHeight="1" x14ac:dyDescent="0.2">
      <c r="A8" s="56" t="str">
        <f>IF(LEFT(TRIM(Raw_Data!A8),5)="CUST-",UPPER(TRIM(Raw_Data!A8)),"CUST-"&amp;UPPER(TRIM(Raw_Data!A8)))</f>
        <v>CUST-1007</v>
      </c>
      <c r="B8" s="10" t="str">
        <f>Raw_Data!B8</f>
        <v>ACC-229397</v>
      </c>
      <c r="C8" s="10" t="str">
        <f>PROPER(TRIM(CLEAN(Raw_Data!C8)))</f>
        <v>Ritu Gupta</v>
      </c>
      <c r="D8" s="10" t="str">
        <f>Raw_Data!D8</f>
        <v>2026-08-07</v>
      </c>
      <c r="E8" s="10" t="str">
        <f>PROPER(TRIM(Raw_Data!E8))</f>
        <v>Debit</v>
      </c>
      <c r="F8" s="63">
        <f>IFERROR(VALUE(SUBSTITUTE(SUBSTITUTE(TRIM(Raw_Data!F8),"$",""),",","")),"CHECK")</f>
        <v>500</v>
      </c>
      <c r="G8" s="10" t="str">
        <f>Raw_Data!G8</f>
        <v>INR</v>
      </c>
      <c r="H8" s="10" t="str">
        <f>IF(TRIM(Raw_Data!H8)="","UNKNOWN",TRIM(Raw_Data!H8))</f>
        <v>BRN-04</v>
      </c>
      <c r="I8" s="10" t="str">
        <f>Raw_Data!I8</f>
        <v>TXN-0007</v>
      </c>
      <c r="J8" s="57" t="str">
        <f>PROPER(TRIM(CLEAN(Raw_Data!J8)))</f>
        <v>Coffee Shop Payment</v>
      </c>
      <c r="K8" s="10"/>
      <c r="L8" s="20" t="str">
        <f>IF(COUNTIF($J$2:J8,J8)&gt;1,"DUPLICATE","OK")</f>
        <v>OK</v>
      </c>
    </row>
    <row r="9" spans="1:13" ht="18" customHeight="1" x14ac:dyDescent="0.2">
      <c r="A9" s="56" t="str">
        <f>IF(LEFT(TRIM(Raw_Data!A9),5)="CUST-",UPPER(TRIM(Raw_Data!A9)),"CUST-"&amp;UPPER(TRIM(Raw_Data!A9)))</f>
        <v>CUST-1008</v>
      </c>
      <c r="B9" s="10" t="str">
        <f>Raw_Data!B9</f>
        <v>ACC-118286</v>
      </c>
      <c r="C9" s="10" t="str">
        <f>PROPER(TRIM(CLEAN(Raw_Data!C9)))</f>
        <v>Deepak Verma</v>
      </c>
      <c r="D9" s="10" t="str">
        <f>Raw_Data!D9</f>
        <v>08-Aug-2026</v>
      </c>
      <c r="E9" s="10" t="str">
        <f>PROPER(TRIM(Raw_Data!E9))</f>
        <v>Credit</v>
      </c>
      <c r="F9" s="63">
        <f>IFERROR(VALUE(SUBSTITUTE(SUBSTITUTE(TRIM(Raw_Data!F9),"$",""),",","")),"CHECK")</f>
        <v>45000</v>
      </c>
      <c r="G9" s="10" t="str">
        <f>Raw_Data!G9</f>
        <v>INR</v>
      </c>
      <c r="H9" s="10" t="str">
        <f>IF(TRIM(Raw_Data!H9)="","UNKNOWN",TRIM(Raw_Data!H9))</f>
        <v>UNKNOWN</v>
      </c>
      <c r="I9" s="10" t="str">
        <f>Raw_Data!I9</f>
        <v>TXN-0008</v>
      </c>
      <c r="J9" s="57" t="str">
        <f>PROPER(TRIM(CLEAN(Raw_Data!J9)))</f>
        <v>Property Rent Collected Extra</v>
      </c>
      <c r="K9" s="10"/>
      <c r="L9" s="20" t="str">
        <f>IF(COUNTIF($J$2:J9,J9)&gt;1,"DUPLICATE","OK")</f>
        <v>OK</v>
      </c>
    </row>
    <row r="10" spans="1:13" ht="18" customHeight="1" x14ac:dyDescent="0.2">
      <c r="A10" s="56" t="str">
        <f>IF(LEFT(TRIM(Raw_Data!A10),5)="CUST-",UPPER(TRIM(Raw_Data!A10)),"CUST-"&amp;UPPER(TRIM(Raw_Data!A10)))</f>
        <v>CUST-1009</v>
      </c>
      <c r="B10" s="10" t="str">
        <f>Raw_Data!B10</f>
        <v>ACC-007175</v>
      </c>
      <c r="C10" s="10" t="str">
        <f>PROPER(TRIM(CLEAN(Raw_Data!C10)))</f>
        <v>Meena Krishnan</v>
      </c>
      <c r="D10" s="10" t="str">
        <f>Raw_Data!D10</f>
        <v>2026-08-09</v>
      </c>
      <c r="E10" s="10" t="str">
        <f>PROPER(TRIM(Raw_Data!E10))</f>
        <v>Debit</v>
      </c>
      <c r="F10" s="63">
        <f>IFERROR(VALUE(SUBSTITUTE(SUBSTITUTE(TRIM(Raw_Data!F10),"$",""),",","")),"CHECK")</f>
        <v>2300</v>
      </c>
      <c r="G10" s="10" t="str">
        <f>Raw_Data!G10</f>
        <v>INR</v>
      </c>
      <c r="H10" s="10" t="str">
        <f>IF(TRIM(Raw_Data!H10)="","UNKNOWN",TRIM(Raw_Data!H10))</f>
        <v>BRN-03</v>
      </c>
      <c r="I10" s="10" t="str">
        <f>Raw_Data!I10</f>
        <v>TXN-0009</v>
      </c>
      <c r="J10" s="57" t="str">
        <f>PROPER(TRIM(CLEAN(Raw_Data!J10)))</f>
        <v>Insurance Premium Paid</v>
      </c>
      <c r="K10" s="10"/>
      <c r="L10" s="20" t="str">
        <f>IF(COUNTIF($J$2:J10,J10)&gt;1,"DUPLICATE","OK")</f>
        <v>OK</v>
      </c>
    </row>
    <row r="11" spans="1:13" ht="18" customHeight="1" x14ac:dyDescent="0.2">
      <c r="A11" s="56" t="str">
        <f>IF(LEFT(TRIM(Raw_Data!A11),5)="CUST-",UPPER(TRIM(Raw_Data!A11)),"CUST-"&amp;UPPER(TRIM(Raw_Data!A11)))</f>
        <v>CUST-1010</v>
      </c>
      <c r="B11" s="10" t="str">
        <f>Raw_Data!B11</f>
        <v>ACC-996064</v>
      </c>
      <c r="C11" s="10" t="str">
        <f>PROPER(TRIM(CLEAN(Raw_Data!C11)))</f>
        <v>Arjun Bose</v>
      </c>
      <c r="D11" s="10" t="str">
        <f>Raw_Data!D11</f>
        <v>2026-08-10</v>
      </c>
      <c r="E11" s="10" t="str">
        <f>PROPER(TRIM(Raw_Data!E11))</f>
        <v>Credit</v>
      </c>
      <c r="F11" s="63">
        <f>IFERROR(VALUE(SUBSTITUTE(SUBSTITUTE(TRIM(Raw_Data!F11),"$",""),",","")),"CHECK")</f>
        <v>11000</v>
      </c>
      <c r="G11" s="10" t="str">
        <f>Raw_Data!G11</f>
        <v>INR</v>
      </c>
      <c r="H11" s="10" t="str">
        <f>IF(TRIM(Raw_Data!H11)="","UNKNOWN",TRIM(Raw_Data!H11))</f>
        <v>BRN-01</v>
      </c>
      <c r="I11" s="10" t="str">
        <f>Raw_Data!I11</f>
        <v>TXN-0010</v>
      </c>
      <c r="J11" s="57" t="str">
        <f>PROPER(TRIM(CLEAN(Raw_Data!J11)))</f>
        <v>Dividend Received</v>
      </c>
      <c r="K11" s="10"/>
      <c r="L11" s="20" t="str">
        <f>IF(COUNTIF($J$2:J11,J11)&gt;1,"DUPLICATE","OK")</f>
        <v>OK</v>
      </c>
    </row>
    <row r="12" spans="1:13" ht="18" customHeight="1" x14ac:dyDescent="0.2">
      <c r="A12" s="56" t="str">
        <f>IF(LEFT(TRIM(Raw_Data!A12),5)="CUST-",UPPER(TRIM(Raw_Data!A12)),"CUST-"&amp;UPPER(TRIM(Raw_Data!A12)))</f>
        <v>CUST-1011</v>
      </c>
      <c r="B12" s="10" t="str">
        <f>Raw_Data!B12</f>
        <v>ACC-885953</v>
      </c>
      <c r="C12" s="10" t="str">
        <f>PROPER(TRIM(CLEAN(Raw_Data!C12)))</f>
        <v>Kavya Reddy</v>
      </c>
      <c r="D12" s="10" t="str">
        <f>Raw_Data!D12</f>
        <v>2026-08-11</v>
      </c>
      <c r="E12" s="10" t="str">
        <f>PROPER(TRIM(Raw_Data!E12))</f>
        <v>Debit</v>
      </c>
      <c r="F12" s="63">
        <f>IFERROR(VALUE(SUBSTITUTE(SUBSTITUTE(TRIM(Raw_Data!F12),"$",""),",","")),"CHECK")</f>
        <v>750</v>
      </c>
      <c r="G12" s="10" t="str">
        <f>Raw_Data!G12</f>
        <v>INR</v>
      </c>
      <c r="H12" s="10" t="str">
        <f>IF(TRIM(Raw_Data!H12)="","UNKNOWN",TRIM(Raw_Data!H12))</f>
        <v>BRN-05</v>
      </c>
      <c r="I12" s="10" t="str">
        <f>Raw_Data!I12</f>
        <v>TXN-0011</v>
      </c>
      <c r="J12" s="57" t="str">
        <f>PROPER(TRIM(CLEAN(Raw_Data!J12)))</f>
        <v>Supermarket Purchase</v>
      </c>
      <c r="K12" s="10"/>
      <c r="L12" s="20" t="str">
        <f>IF(COUNTIF($J$2:J12,J12)&gt;1,"DUPLICATE","OK")</f>
        <v>OK</v>
      </c>
    </row>
    <row r="13" spans="1:13" ht="18" customHeight="1" x14ac:dyDescent="0.2">
      <c r="A13" s="56" t="str">
        <f>IF(LEFT(TRIM(Raw_Data!A13),5)="CUST-",UPPER(TRIM(Raw_Data!A13)),"CUST-"&amp;UPPER(TRIM(Raw_Data!A13)))</f>
        <v>CUST-1012</v>
      </c>
      <c r="B13" s="10" t="str">
        <f>Raw_Data!B13</f>
        <v>ACC-774842</v>
      </c>
      <c r="C13" s="10" t="str">
        <f>PROPER(TRIM(CLEAN(Raw_Data!C13)))</f>
        <v>Suresh Pillai</v>
      </c>
      <c r="D13" s="10" t="str">
        <f>Raw_Data!D13</f>
        <v>2026-08-12</v>
      </c>
      <c r="E13" s="10" t="str">
        <f>PROPER(TRIM(Raw_Data!E13))</f>
        <v>Credit</v>
      </c>
      <c r="F13" s="63" t="s">
        <v>411</v>
      </c>
      <c r="G13" s="10" t="str">
        <f>Raw_Data!G13</f>
        <v>INR</v>
      </c>
      <c r="H13" s="10" t="str">
        <f>IF(TRIM(Raw_Data!H13)="","UNKNOWN",TRIM(Raw_Data!H13))</f>
        <v>BRN-02</v>
      </c>
      <c r="I13" s="10" t="str">
        <f>Raw_Data!I13</f>
        <v>TXN-0012</v>
      </c>
      <c r="J13" s="57" t="str">
        <f>PROPER(TRIM(CLEAN(Raw_Data!J13)))</f>
        <v>Pending Credit</v>
      </c>
      <c r="K13" s="10"/>
      <c r="L13" s="20" t="str">
        <f>IF(COUNTIF($J$2:J13,J13)&gt;1,"DUPLICATE","OK")</f>
        <v>OK</v>
      </c>
    </row>
    <row r="14" spans="1:13" ht="18" customHeight="1" x14ac:dyDescent="0.2">
      <c r="A14" s="56" t="str">
        <f>IF(LEFT(TRIM(Raw_Data!A14),5)="CUST-",UPPER(TRIM(Raw_Data!A14)),"CUST-"&amp;UPPER(TRIM(Raw_Data!A14)))</f>
        <v>CUST-1003</v>
      </c>
      <c r="B14" s="10" t="str">
        <f>Raw_Data!B14</f>
        <v>ACC-663741</v>
      </c>
      <c r="C14" s="10" t="str">
        <f>PROPER(TRIM(CLEAN(Raw_Data!C14)))</f>
        <v>Ananya Iyer</v>
      </c>
      <c r="D14" s="10" t="str">
        <f>Raw_Data!D14</f>
        <v>01/08/2026</v>
      </c>
      <c r="E14" s="10" t="str">
        <f>PROPER(TRIM(Raw_Data!E14))</f>
        <v>Credit</v>
      </c>
      <c r="F14" s="63">
        <f>IFERROR(VALUE(SUBSTITUTE(SUBSTITUTE(TRIM(Raw_Data!F14),"$",""),",","")),"CHECK")</f>
        <v>22000</v>
      </c>
      <c r="G14" s="10" t="str">
        <f>Raw_Data!G14</f>
        <v>INR</v>
      </c>
      <c r="H14" s="10" t="str">
        <f>IF(TRIM(Raw_Data!H14)="","UNKNOWN",TRIM(Raw_Data!H14))</f>
        <v>UNKNOWN</v>
      </c>
      <c r="I14" s="10" t="str">
        <f>Raw_Data!I14</f>
        <v>TXN-0003</v>
      </c>
      <c r="J14" s="57" t="str">
        <f>PROPER(TRIM(CLEAN(Raw_Data!J14)))</f>
        <v>Loan Disbursement</v>
      </c>
      <c r="K14" s="10"/>
      <c r="L14" s="20" t="str">
        <f>IF(COUNTIF($J$2:J14,J14)&gt;1,"DUPLICATE","OK")</f>
        <v>OK</v>
      </c>
    </row>
    <row r="15" spans="1:13" ht="18" customHeight="1" x14ac:dyDescent="0.2">
      <c r="A15" s="56" t="str">
        <f>IF(LEFT(TRIM(Raw_Data!A15),5)="CUST-",UPPER(TRIM(Raw_Data!A15)),"CUST-"&amp;UPPER(TRIM(Raw_Data!A15)))</f>
        <v>CUST-1013</v>
      </c>
      <c r="B15" s="10" t="str">
        <f>Raw_Data!B15</f>
        <v>ACC-553731</v>
      </c>
      <c r="C15" s="10" t="str">
        <f>PROPER(TRIM(CLEAN(Raw_Data!C15)))</f>
        <v>Pooja Desai</v>
      </c>
      <c r="D15" s="10" t="str">
        <f>Raw_Data!D15</f>
        <v>2026-08-14</v>
      </c>
      <c r="E15" s="10" t="str">
        <f>PROPER(TRIM(Raw_Data!E15))</f>
        <v>Debit</v>
      </c>
      <c r="F15" s="63">
        <f>IFERROR(VALUE(SUBSTITUTE(SUBSTITUTE(TRIM(Raw_Data!F15),"$",""),",","")),"CHECK")</f>
        <v>4200</v>
      </c>
      <c r="G15" s="10" t="str">
        <f>Raw_Data!G15</f>
        <v>INR</v>
      </c>
      <c r="H15" s="10" t="str">
        <f>IF(TRIM(Raw_Data!H15)="","UNKNOWN",TRIM(Raw_Data!H15))</f>
        <v>BRN-04</v>
      </c>
      <c r="I15" s="10" t="str">
        <f>Raw_Data!I15</f>
        <v>TXN-0013</v>
      </c>
      <c r="J15" s="57" t="str">
        <f>PROPER(TRIM(CLEAN(Raw_Data!J15)))</f>
        <v>Emi Payment</v>
      </c>
      <c r="K15" s="10"/>
      <c r="L15" s="20" t="str">
        <f>IF(COUNTIF($J$2:J15,J15)&gt;1,"DUPLICATE","OK")</f>
        <v>OK</v>
      </c>
    </row>
    <row r="16" spans="1:13" ht="18" customHeight="1" x14ac:dyDescent="0.2">
      <c r="A16" s="56" t="str">
        <f>IF(LEFT(TRIM(Raw_Data!A16),5)="CUST-",UPPER(TRIM(Raw_Data!A16)),"CUST-"&amp;UPPER(TRIM(Raw_Data!A16)))</f>
        <v>CUST-1014</v>
      </c>
      <c r="B16" s="10" t="str">
        <f>Raw_Data!B16</f>
        <v>ACC-442620</v>
      </c>
      <c r="C16" s="10" t="str">
        <f>PROPER(TRIM(CLEAN(Raw_Data!C16)))</f>
        <v>Nikhil Joshi</v>
      </c>
      <c r="D16" s="10" t="str">
        <f>Raw_Data!D16</f>
        <v>2026-08-15</v>
      </c>
      <c r="E16" s="10" t="str">
        <f>PROPER(TRIM(Raw_Data!E16))</f>
        <v>Credit</v>
      </c>
      <c r="F16" s="63">
        <f>IFERROR(VALUE(SUBSTITUTE(SUBSTITUTE(TRIM(Raw_Data!F16),"$",""),",","")),"CHECK")</f>
        <v>18900</v>
      </c>
      <c r="G16" s="10" t="str">
        <f>Raw_Data!G16</f>
        <v>INR</v>
      </c>
      <c r="H16" s="10" t="str">
        <f>IF(TRIM(Raw_Data!H16)="","UNKNOWN",TRIM(Raw_Data!H16))</f>
        <v>BRN-01</v>
      </c>
      <c r="I16" s="10" t="str">
        <f>Raw_Data!I16</f>
        <v>TXN-0014</v>
      </c>
      <c r="J16" s="57" t="str">
        <f>PROPER(TRIM(CLEAN(Raw_Data!J16)))</f>
        <v>Consulting Fees</v>
      </c>
      <c r="K16" s="10"/>
      <c r="L16" s="20" t="str">
        <f>IF(COUNTIF($J$2:J16,J16)&gt;1,"DUPLICATE","OK")</f>
        <v>OK</v>
      </c>
    </row>
    <row r="17" spans="1:12" ht="18" customHeight="1" x14ac:dyDescent="0.2">
      <c r="A17" s="56" t="str">
        <f>IF(LEFT(TRIM(Raw_Data!A17),5)="CUST-",UPPER(TRIM(Raw_Data!A17)),"CUST-"&amp;UPPER(TRIM(Raw_Data!A17)))</f>
        <v>CUST-1015</v>
      </c>
      <c r="B17" s="10" t="str">
        <f>Raw_Data!B17</f>
        <v>ACC-331509</v>
      </c>
      <c r="C17" s="10" t="str">
        <f>PROPER(TRIM(CLEAN(Raw_Data!C17)))</f>
        <v>Preethi Menon</v>
      </c>
      <c r="D17" s="10" t="str">
        <f>Raw_Data!D17</f>
        <v>2026-08-16</v>
      </c>
      <c r="E17" s="10" t="str">
        <f>PROPER(TRIM(Raw_Data!E17))</f>
        <v>Debit</v>
      </c>
      <c r="F17" s="63">
        <f>IFERROR(VALUE(SUBSTITUTE(SUBSTITUTE(TRIM(Raw_Data!F17),"$",""),",","")),"CHECK")</f>
        <v>250</v>
      </c>
      <c r="G17" s="10" t="str">
        <f>Raw_Data!G17</f>
        <v>INR</v>
      </c>
      <c r="H17" s="10" t="str">
        <f>IF(TRIM(Raw_Data!H17)="","UNKNOWN",TRIM(Raw_Data!H17))</f>
        <v>UNKNOWN</v>
      </c>
      <c r="I17" s="10" t="str">
        <f>Raw_Data!I17</f>
        <v>TXN-0015</v>
      </c>
      <c r="J17" s="57" t="str">
        <f>PROPER(TRIM(CLEAN(Raw_Data!J17)))</f>
        <v>Food Delivery</v>
      </c>
      <c r="K17" s="10"/>
      <c r="L17" s="20" t="str">
        <f>IF(COUNTIF($J$2:J17,J17)&gt;1,"DUPLICATE","OK")</f>
        <v>OK</v>
      </c>
    </row>
    <row r="18" spans="1:12" ht="18" customHeight="1" x14ac:dyDescent="0.2">
      <c r="A18" s="56" t="str">
        <f>IF(LEFT(TRIM(Raw_Data!A18),5)="CUST-",UPPER(TRIM(Raw_Data!A18)),"CUST-"&amp;UPPER(TRIM(Raw_Data!A18)))</f>
        <v>CUST-1016</v>
      </c>
      <c r="B18" s="10" t="str">
        <f>Raw_Data!B18</f>
        <v>ACC-220398</v>
      </c>
      <c r="C18" s="10" t="str">
        <f>PROPER(TRIM(CLEAN(Raw_Data!C18)))</f>
        <v>Rohit Kumar</v>
      </c>
      <c r="D18" s="10" t="str">
        <f>Raw_Data!D18</f>
        <v>2026-08-17</v>
      </c>
      <c r="E18" s="10" t="str">
        <f>PROPER(TRIM(Raw_Data!E18))</f>
        <v>Credit</v>
      </c>
      <c r="F18" s="63">
        <f>IFERROR(VALUE(SUBSTITUTE(SUBSTITUTE(TRIM(Raw_Data!F18),"$",""),",","")),"CHECK")</f>
        <v>8000</v>
      </c>
      <c r="G18" s="10" t="str">
        <f>Raw_Data!G18</f>
        <v>INR</v>
      </c>
      <c r="H18" s="10" t="str">
        <f>IF(TRIM(Raw_Data!H18)="","UNKNOWN",TRIM(Raw_Data!H18))</f>
        <v>BRN-03</v>
      </c>
      <c r="I18" s="10" t="str">
        <f>Raw_Data!I18</f>
        <v>TXN-0016</v>
      </c>
      <c r="J18" s="57" t="str">
        <f>PROPER(TRIM(CLEAN(Raw_Data!J18)))</f>
        <v>Part-Time Income</v>
      </c>
      <c r="K18" s="10"/>
      <c r="L18" s="20" t="str">
        <f>IF(COUNTIF($J$2:J18,J18)&gt;1,"DUPLICATE","OK")</f>
        <v>OK</v>
      </c>
    </row>
    <row r="19" spans="1:12" ht="18" customHeight="1" x14ac:dyDescent="0.2">
      <c r="A19" s="56" t="str">
        <f>IF(LEFT(TRIM(Raw_Data!A19),5)="CUST-",UPPER(TRIM(Raw_Data!A19)),"CUST-"&amp;UPPER(TRIM(Raw_Data!A19)))</f>
        <v>CUST-1002</v>
      </c>
      <c r="B19" s="10" t="str">
        <f>Raw_Data!B19</f>
        <v>ACC-774832</v>
      </c>
      <c r="C19" s="10" t="str">
        <f>PROPER(TRIM(CLEAN(Raw_Data!C19)))</f>
        <v>Rahul Mehta</v>
      </c>
      <c r="D19" s="10" t="str">
        <f>Raw_Data!D19</f>
        <v>2026-08-02</v>
      </c>
      <c r="E19" s="10" t="str">
        <f>PROPER(TRIM(Raw_Data!E19))</f>
        <v>Debit</v>
      </c>
      <c r="F19" s="63">
        <f>IFERROR(VALUE(SUBSTITUTE(SUBSTITUTE(TRIM(Raw_Data!F19),"$",""),",","")),"CHECK")</f>
        <v>8500</v>
      </c>
      <c r="G19" s="10" t="str">
        <f>Raw_Data!G19</f>
        <v>INR</v>
      </c>
      <c r="H19" s="10" t="str">
        <f>IF(TRIM(Raw_Data!H19)="","UNKNOWN",TRIM(Raw_Data!H19))</f>
        <v>BRN-02</v>
      </c>
      <c r="I19" s="10" t="str">
        <f>Raw_Data!I19</f>
        <v>TXN-0002</v>
      </c>
      <c r="J19" s="58" t="str">
        <f>PROPER(TRIM(CLEAN(Raw_Data!J19)))</f>
        <v>Online Transfer To Vendor</v>
      </c>
      <c r="K19" s="10"/>
      <c r="L19" s="20" t="str">
        <f>IF(COUNTIF($J$2:J19,J19)&gt;1,"DUPLICATE","OK")</f>
        <v>DUPLICATE</v>
      </c>
    </row>
    <row r="20" spans="1:12" ht="18" customHeight="1" x14ac:dyDescent="0.2">
      <c r="A20" s="56" t="str">
        <f>IF(LEFT(TRIM(Raw_Data!A20),5)="CUST-",UPPER(TRIM(Raw_Data!A20)),"CUST-"&amp;UPPER(TRIM(Raw_Data!A20)))</f>
        <v>CUST-1017</v>
      </c>
      <c r="B20" s="10" t="str">
        <f>Raw_Data!B20</f>
        <v>ACC-119287</v>
      </c>
      <c r="C20" s="10" t="str">
        <f>PROPER(TRIM(CLEAN(Raw_Data!C20)))</f>
        <v>Lakshmi Rao</v>
      </c>
      <c r="D20" s="10" t="str">
        <f>Raw_Data!D20</f>
        <v>2026-08-19</v>
      </c>
      <c r="E20" s="10" t="str">
        <f>PROPER(TRIM(Raw_Data!E20))</f>
        <v>Debit</v>
      </c>
      <c r="F20" s="63">
        <f>IFERROR(VALUE(SUBSTITUTE(SUBSTITUTE(TRIM(Raw_Data!F20),"$",""),",","")),"CHECK")</f>
        <v>1050</v>
      </c>
      <c r="G20" s="10" t="str">
        <f>Raw_Data!G20</f>
        <v>INR</v>
      </c>
      <c r="H20" s="10" t="str">
        <f>IF(TRIM(Raw_Data!H20)="","UNKNOWN",TRIM(Raw_Data!H20))</f>
        <v>BRN-05</v>
      </c>
      <c r="I20" s="10" t="str">
        <f>Raw_Data!I20</f>
        <v>TXN-0017</v>
      </c>
      <c r="J20" s="57" t="str">
        <f>PROPER(TRIM(CLEAN(Raw_Data!J20)))</f>
        <v>Mobile Recharge</v>
      </c>
      <c r="K20" s="10"/>
      <c r="L20" s="20" t="str">
        <f>IF(COUNTIF($J$2:J20,J20)&gt;1,"DUPLICATE","OK")</f>
        <v>OK</v>
      </c>
    </row>
    <row r="21" spans="1:12" ht="18" customHeight="1" x14ac:dyDescent="0.2">
      <c r="A21" s="56" t="str">
        <f>IF(LEFT(TRIM(Raw_Data!A21),5)="CUST-",UPPER(TRIM(Raw_Data!A21)),"CUST-"&amp;UPPER(TRIM(Raw_Data!A21)))</f>
        <v>CUST-1018</v>
      </c>
      <c r="B21" s="10" t="str">
        <f>Raw_Data!B21</f>
        <v>ACC-008176</v>
      </c>
      <c r="C21" s="10" t="str">
        <f>PROPER(TRIM(CLEAN(Raw_Data!C21)))</f>
        <v>Harsh Vardhan</v>
      </c>
      <c r="D21" s="10" t="str">
        <f>Raw_Data!D21</f>
        <v>2026-08-20</v>
      </c>
      <c r="E21" s="10" t="str">
        <f>PROPER(TRIM(Raw_Data!E21))</f>
        <v>Credit</v>
      </c>
      <c r="F21" s="63">
        <f>IFERROR(VALUE(SUBSTITUTE(SUBSTITUTE(TRIM(Raw_Data!F21),"$",""),",","")),"CHECK")</f>
        <v>30000</v>
      </c>
      <c r="G21" s="10" t="str">
        <f>Raw_Data!G21</f>
        <v>INR</v>
      </c>
      <c r="H21" s="10" t="str">
        <f>IF(TRIM(Raw_Data!H21)="","UNKNOWN",TRIM(Raw_Data!H21))</f>
        <v>BRN-02</v>
      </c>
      <c r="I21" s="10" t="str">
        <f>Raw_Data!I21</f>
        <v>TXN-0018</v>
      </c>
      <c r="J21" s="57" t="str">
        <f>PROPER(TRIM(CLEAN(Raw_Data!J21)))</f>
        <v>Quarterly Bonus</v>
      </c>
      <c r="K21" s="10"/>
      <c r="L21" s="20" t="str">
        <f>IF(COUNTIF($J$2:J21,J21)&gt;1,"DUPLICATE","OK")</f>
        <v>OK</v>
      </c>
    </row>
    <row r="22" spans="1:12" ht="18" customHeight="1" x14ac:dyDescent="0.2">
      <c r="A22" s="56" t="str">
        <f>IF(LEFT(TRIM(Raw_Data!A22),5)="CUST-",UPPER(TRIM(Raw_Data!A22)),"CUST-"&amp;UPPER(TRIM(Raw_Data!A22)))</f>
        <v>CUST-1019</v>
      </c>
      <c r="B22" s="10" t="str">
        <f>Raw_Data!B22</f>
        <v>ACC-997065</v>
      </c>
      <c r="C22" s="10" t="str">
        <f>PROPER(TRIM(CLEAN(Raw_Data!C22)))</f>
        <v>Divya Nambiar</v>
      </c>
      <c r="D22" s="10" t="str">
        <f>Raw_Data!D22</f>
        <v>21-Aug-2026</v>
      </c>
      <c r="E22" s="10" t="str">
        <f>PROPER(TRIM(Raw_Data!E22))</f>
        <v>Debit</v>
      </c>
      <c r="F22" s="63">
        <f>IFERROR(VALUE(SUBSTITUTE(SUBSTITUTE(TRIM(Raw_Data!F22),"$",""),",","")),"CHECK")</f>
        <v>600</v>
      </c>
      <c r="G22" s="10" t="str">
        <f>Raw_Data!G22</f>
        <v>INR</v>
      </c>
      <c r="H22" s="10" t="str">
        <f>IF(TRIM(Raw_Data!H22)="","UNKNOWN",TRIM(Raw_Data!H22))</f>
        <v>UNKNOWN</v>
      </c>
      <c r="I22" s="10" t="str">
        <f>Raw_Data!I22</f>
        <v>TXN-0019</v>
      </c>
      <c r="J22" s="57" t="str">
        <f>PROPER(TRIM(CLEAN(Raw_Data!J22)))</f>
        <v>Grocery Shopping</v>
      </c>
      <c r="K22" s="10"/>
      <c r="L22" s="20" t="str">
        <f>IF(COUNTIF($J$2:J22,J22)&gt;1,"DUPLICATE","OK")</f>
        <v>OK</v>
      </c>
    </row>
    <row r="23" spans="1:12" ht="18" customHeight="1" x14ac:dyDescent="0.2">
      <c r="A23" s="56" t="str">
        <f>IF(LEFT(TRIM(Raw_Data!A23),5)="CUST-",UPPER(TRIM(Raw_Data!A23)),"CUST-"&amp;UPPER(TRIM(Raw_Data!A23)))</f>
        <v>CUST-1020</v>
      </c>
      <c r="B23" s="10" t="str">
        <f>Raw_Data!B23</f>
        <v>ACC-886954</v>
      </c>
      <c r="C23" s="10" t="str">
        <f>PROPER(TRIM(CLEAN(Raw_Data!C23)))</f>
        <v>Sanjay Kapoor</v>
      </c>
      <c r="D23" s="10" t="str">
        <f>Raw_Data!D23</f>
        <v>2026-08-22</v>
      </c>
      <c r="E23" s="10" t="str">
        <f>PROPER(TRIM(Raw_Data!E23))</f>
        <v>Credit</v>
      </c>
      <c r="F23" s="63">
        <f>IFERROR(VALUE(SUBSTITUTE(SUBSTITUTE(TRIM(Raw_Data!F23),"$",""),",","")),"CHECK")</f>
        <v>5500</v>
      </c>
      <c r="G23" s="10" t="str">
        <f>Raw_Data!G23</f>
        <v>INR</v>
      </c>
      <c r="H23" s="10" t="str">
        <f>IF(TRIM(Raw_Data!H23)="","UNKNOWN",TRIM(Raw_Data!H23))</f>
        <v>BRN-01</v>
      </c>
      <c r="I23" s="10" t="str">
        <f>Raw_Data!I23</f>
        <v>TXN-0020</v>
      </c>
      <c r="J23" s="57" t="str">
        <f>PROPER(TRIM(CLEAN(Raw_Data!J23)))</f>
        <v>Freelance Invoice</v>
      </c>
      <c r="K23" s="10"/>
      <c r="L23" s="20" t="str">
        <f>IF(COUNTIF($J$2:J23,J23)&gt;1,"DUPLICATE","OK")</f>
        <v>OK</v>
      </c>
    </row>
    <row r="24" spans="1:12" ht="18" customHeight="1" x14ac:dyDescent="0.2">
      <c r="A24" s="56" t="str">
        <f>IF(LEFT(TRIM(Raw_Data!A24),5)="CUST-",UPPER(TRIM(Raw_Data!A24)),"CUST-"&amp;UPPER(TRIM(Raw_Data!A24)))</f>
        <v>CUST-1021</v>
      </c>
      <c r="B24" s="10" t="str">
        <f>Raw_Data!B24</f>
        <v>ACC-775843</v>
      </c>
      <c r="C24" s="10" t="str">
        <f>PROPER(TRIM(CLEAN(Raw_Data!C24)))</f>
        <v>Radha Krishna</v>
      </c>
      <c r="D24" s="10" t="str">
        <f>Raw_Data!D24</f>
        <v>2026-08-23</v>
      </c>
      <c r="E24" s="10" t="str">
        <f>PROPER(TRIM(Raw_Data!E24))</f>
        <v>Credit</v>
      </c>
      <c r="F24" s="63">
        <f>IFERROR(VALUE(SUBSTITUTE(SUBSTITUTE(TRIM(Raw_Data!F24),"$",""),",","")),"CHECK")</f>
        <v>12750</v>
      </c>
      <c r="G24" s="10" t="str">
        <f>Raw_Data!G24</f>
        <v>INR</v>
      </c>
      <c r="H24" s="10" t="str">
        <f>IF(TRIM(Raw_Data!H24)="","UNKNOWN",TRIM(Raw_Data!H24))</f>
        <v>BRN-03</v>
      </c>
      <c r="I24" s="10" t="str">
        <f>Raw_Data!I24</f>
        <v>TXN-0021</v>
      </c>
      <c r="J24" s="57" t="str">
        <f>PROPER(TRIM(CLEAN(Raw_Data!J24)))</f>
        <v>Rental Income</v>
      </c>
      <c r="K24" s="10"/>
      <c r="L24" s="20" t="str">
        <f>IF(COUNTIF($J$2:J24,J24)&gt;1,"DUPLICATE","OK")</f>
        <v>OK</v>
      </c>
    </row>
    <row r="25" spans="1:12" ht="18" customHeight="1" x14ac:dyDescent="0.2">
      <c r="A25" s="56" t="str">
        <f>IF(LEFT(TRIM(Raw_Data!A25),5)="CUST-",UPPER(TRIM(Raw_Data!A25)),"CUST-"&amp;UPPER(TRIM(Raw_Data!A25)))</f>
        <v>CUST-1022</v>
      </c>
      <c r="B25" s="10" t="str">
        <f>Raw_Data!B25</f>
        <v>ACC-664732</v>
      </c>
      <c r="C25" s="10" t="str">
        <f>PROPER(TRIM(CLEAN(Raw_Data!C25)))</f>
        <v>Mohan Lal</v>
      </c>
      <c r="D25" s="10" t="str">
        <f>Raw_Data!D25</f>
        <v>2026-08-24</v>
      </c>
      <c r="E25" s="10" t="str">
        <f>PROPER(TRIM(Raw_Data!E25))</f>
        <v>Debit</v>
      </c>
      <c r="F25" s="63">
        <f>IFERROR(VALUE(SUBSTITUTE(SUBSTITUTE(TRIM(Raw_Data!F25),"$",""),",","")),"CHECK")</f>
        <v>900</v>
      </c>
      <c r="G25" s="10" t="str">
        <f>Raw_Data!G25</f>
        <v>INR</v>
      </c>
      <c r="H25" s="10" t="str">
        <f>IF(TRIM(Raw_Data!H25)="","UNKNOWN",TRIM(Raw_Data!H25))</f>
        <v>BRN-04</v>
      </c>
      <c r="I25" s="10" t="str">
        <f>Raw_Data!I25</f>
        <v>TXN-0022</v>
      </c>
      <c r="J25" s="57" t="str">
        <f>PROPER(TRIM(CLEAN(Raw_Data!J25)))</f>
        <v>Book Purchase</v>
      </c>
      <c r="K25" s="10"/>
      <c r="L25" s="20" t="str">
        <f>IF(COUNTIF($J$2:J25,J25)&gt;1,"DUPLICATE","OK")</f>
        <v>OK</v>
      </c>
    </row>
    <row r="26" spans="1:12" ht="18" customHeight="1" x14ac:dyDescent="0.2">
      <c r="A26" s="56" t="str">
        <f>IF(LEFT(TRIM(Raw_Data!A26),5)="CUST-",UPPER(TRIM(Raw_Data!A26)),"CUST-"&amp;UPPER(TRIM(Raw_Data!A26)))</f>
        <v>CUST-1023</v>
      </c>
      <c r="B26" s="10" t="str">
        <f>Raw_Data!B26</f>
        <v>ACC-553621</v>
      </c>
      <c r="C26" s="10" t="str">
        <f>PROPER(TRIM(CLEAN(Raw_Data!C26)))</f>
        <v>Geeta Pillai</v>
      </c>
      <c r="D26" s="10" t="str">
        <f>Raw_Data!D26</f>
        <v>2026-08-25</v>
      </c>
      <c r="E26" s="10" t="str">
        <f>PROPER(TRIM(Raw_Data!E26))</f>
        <v>Debit</v>
      </c>
      <c r="F26" s="63">
        <f>IFERROR(VALUE(SUBSTITUTE(SUBSTITUTE(TRIM(Raw_Data!F26),"$",""),",","")),"CHECK")</f>
        <v>2100</v>
      </c>
      <c r="G26" s="10" t="str">
        <f>Raw_Data!G26</f>
        <v>INR</v>
      </c>
      <c r="H26" s="10" t="str">
        <f>IF(TRIM(Raw_Data!H26)="","UNKNOWN",TRIM(Raw_Data!H26))</f>
        <v>UNKNOWN</v>
      </c>
      <c r="I26" s="10" t="str">
        <f>Raw_Data!I26</f>
        <v>TXN-0023</v>
      </c>
      <c r="J26" s="57" t="str">
        <f>PROPER(TRIM(CLEAN(Raw_Data!J26)))</f>
        <v>School Fees</v>
      </c>
      <c r="K26" s="10"/>
      <c r="L26" s="20" t="str">
        <f>IF(COUNTIF($J$2:J26,J26)&gt;1,"DUPLICATE","OK")</f>
        <v>OK</v>
      </c>
    </row>
    <row r="27" spans="1:12" ht="18" customHeight="1" x14ac:dyDescent="0.2">
      <c r="A27" s="56" t="str">
        <f>IF(LEFT(TRIM(Raw_Data!A27),5)="CUST-",UPPER(TRIM(Raw_Data!A27)),"CUST-"&amp;UPPER(TRIM(Raw_Data!A27)))</f>
        <v>CUST-CUST -1024</v>
      </c>
      <c r="B27" s="10" t="str">
        <f>Raw_Data!B27</f>
        <v>ACC-442510</v>
      </c>
      <c r="C27" s="10" t="str">
        <f>PROPER(TRIM(CLEAN(Raw_Data!C27)))</f>
        <v>Kiran Bhat</v>
      </c>
      <c r="D27" s="10" t="str">
        <f>Raw_Data!D27</f>
        <v>2026-08-25</v>
      </c>
      <c r="E27" s="10" t="str">
        <f>PROPER(TRIM(Raw_Data!E27))</f>
        <v>Credit</v>
      </c>
      <c r="F27" s="63">
        <f>IFERROR(VALUE(SUBSTITUTE(SUBSTITUTE(TRIM(Raw_Data!F27),"$",""),",","")),"CHECK")</f>
        <v>7200</v>
      </c>
      <c r="G27" s="10" t="str">
        <f>Raw_Data!G27</f>
        <v>INR</v>
      </c>
      <c r="H27" s="10" t="str">
        <f>IF(TRIM(Raw_Data!H27)="","UNKNOWN",TRIM(Raw_Data!H27))</f>
        <v>BRN-02</v>
      </c>
      <c r="I27" s="10" t="str">
        <f>Raw_Data!I27</f>
        <v>TXN-0024</v>
      </c>
      <c r="J27" s="57" t="str">
        <f>PROPER(TRIM(CLEAN(Raw_Data!J27)))</f>
        <v>Dividend Credit</v>
      </c>
      <c r="K27" s="10"/>
      <c r="L27" s="20" t="str">
        <f>IF(COUNTIF($J$2:J27,J27)&gt;1,"DUPLICATE","OK")</f>
        <v>OK</v>
      </c>
    </row>
    <row r="28" spans="1:12" ht="18" customHeight="1" x14ac:dyDescent="0.2">
      <c r="A28" s="56" t="str">
        <f>IF(LEFT(TRIM(Raw_Data!A28),5)="CUST-",UPPER(TRIM(Raw_Data!A28)),"CUST-"&amp;UPPER(TRIM(Raw_Data!A28)))</f>
        <v>CUST-1025</v>
      </c>
      <c r="B28" s="10" t="str">
        <f>Raw_Data!B28</f>
        <v>ACC-331399</v>
      </c>
      <c r="C28" s="10" t="str">
        <f>PROPER(TRIM(CLEAN(Raw_Data!C28)))</f>
        <v>Nisha Thomas</v>
      </c>
      <c r="D28" s="10" t="str">
        <f>Raw_Data!D28</f>
        <v>2026-08-25</v>
      </c>
      <c r="E28" s="10" t="str">
        <f>PROPER(TRIM(Raw_Data!E28))</f>
        <v>Debit</v>
      </c>
      <c r="F28" s="63">
        <f>IFERROR(VALUE(SUBSTITUTE(SUBSTITUTE(TRIM(Raw_Data!F28),"$",""),",","")),"CHECK")</f>
        <v>350</v>
      </c>
      <c r="G28" s="10" t="str">
        <f>Raw_Data!G28</f>
        <v>INR</v>
      </c>
      <c r="H28" s="10" t="str">
        <f>IF(TRIM(Raw_Data!H28)="","UNKNOWN",TRIM(Raw_Data!H28))</f>
        <v>BRN-05</v>
      </c>
      <c r="I28" s="10" t="str">
        <f>Raw_Data!I28</f>
        <v>TXN-0025</v>
      </c>
      <c r="J28" s="57" t="str">
        <f>PROPER(TRIM(CLEAN(Raw_Data!J28)))</f>
        <v>Streaming Subscription</v>
      </c>
      <c r="K28" s="10"/>
      <c r="L28" s="20" t="str">
        <f>IF(COUNTIF($J$2:J28,J28)&gt;1,"DUPLICATE","OK")</f>
        <v>OK</v>
      </c>
    </row>
    <row r="29" spans="1:12" ht="18" customHeight="1" x14ac:dyDescent="0.2">
      <c r="A29" s="56" t="str">
        <f>IF(LEFT(TRIM(Raw_Data!A29),5)="CUST-",UPPER(TRIM(Raw_Data!A29)),"CUST-"&amp;UPPER(TRIM(Raw_Data!A29)))</f>
        <v>CUST-1026</v>
      </c>
      <c r="B29" s="10" t="str">
        <f>Raw_Data!B29</f>
        <v>ACC-220288</v>
      </c>
      <c r="C29" s="10" t="str">
        <f>PROPER(TRIM(CLEAN(Raw_Data!C29)))</f>
        <v>Vishal Agarwal</v>
      </c>
      <c r="D29" s="10" t="str">
        <f>Raw_Data!D29</f>
        <v>2026-08-25</v>
      </c>
      <c r="E29" s="10" t="str">
        <f>PROPER(TRIM(Raw_Data!E29))</f>
        <v>Credit</v>
      </c>
      <c r="F29" s="63">
        <f>IFERROR(VALUE(SUBSTITUTE(SUBSTITUTE(TRIM(Raw_Data!F29),"$",""),",","")),"CHECK")</f>
        <v>25000</v>
      </c>
      <c r="G29" s="10" t="str">
        <f>Raw_Data!G29</f>
        <v>INR</v>
      </c>
      <c r="H29" s="10" t="str">
        <f>IF(TRIM(Raw_Data!H29)="","UNKNOWN",TRIM(Raw_Data!H29))</f>
        <v>BRN-01</v>
      </c>
      <c r="I29" s="10" t="str">
        <f>Raw_Data!I29</f>
        <v>TXN-0026</v>
      </c>
      <c r="J29" s="57" t="str">
        <f>PROPER(TRIM(CLEAN(Raw_Data!J29)))</f>
        <v>Project Bonus</v>
      </c>
      <c r="K29" s="10"/>
      <c r="L29" s="20" t="str">
        <f>IF(COUNTIF($J$2:J29,J29)&gt;1,"DUPLICATE","OK")</f>
        <v>OK</v>
      </c>
    </row>
    <row r="30" spans="1:12" ht="18" customHeight="1" x14ac:dyDescent="0.2">
      <c r="A30" s="56" t="str">
        <f>IF(LEFT(TRIM(Raw_Data!A30),5)="CUST-",UPPER(TRIM(Raw_Data!A30)),"CUST-"&amp;UPPER(TRIM(Raw_Data!A30)))</f>
        <v>CUST-1027</v>
      </c>
      <c r="B30" s="10" t="str">
        <f>Raw_Data!B30</f>
        <v>ACC-119177</v>
      </c>
      <c r="C30" s="10" t="str">
        <f>PROPER(TRIM(CLEAN(Raw_Data!C30)))</f>
        <v>Sunita Rao</v>
      </c>
      <c r="D30" s="10" t="str">
        <f>Raw_Data!D30</f>
        <v>2026-08-25</v>
      </c>
      <c r="E30" s="10" t="str">
        <f>PROPER(TRIM(Raw_Data!E30))</f>
        <v>Debit</v>
      </c>
      <c r="F30" s="63">
        <f>IFERROR(VALUE(SUBSTITUTE(SUBSTITUTE(TRIM(Raw_Data!F30),"$",""),",","")),"CHECK")</f>
        <v>1800</v>
      </c>
      <c r="G30" s="10" t="str">
        <f>Raw_Data!G30</f>
        <v>INR</v>
      </c>
      <c r="H30" s="10" t="str">
        <f>IF(TRIM(Raw_Data!H30)="","UNKNOWN",TRIM(Raw_Data!H30))</f>
        <v>BRN-03</v>
      </c>
      <c r="I30" s="10" t="str">
        <f>Raw_Data!I30</f>
        <v>TXN-0027</v>
      </c>
      <c r="J30" s="57" t="str">
        <f>PROPER(TRIM(CLEAN(Raw_Data!J30)))</f>
        <v>Monthly Subscription</v>
      </c>
      <c r="K30" s="10"/>
      <c r="L30" s="20" t="str">
        <f>IF(COUNTIF($J$2:J30,J30)&gt;1,"DUPLICATE","OK")</f>
        <v>OK</v>
      </c>
    </row>
    <row r="31" spans="1:12" ht="18" customHeight="1" x14ac:dyDescent="0.2">
      <c r="A31" s="61" t="str">
        <f>IF(LEFT(TRIM(Raw_Data!A31),5)="CUST-",UPPER(TRIM(Raw_Data!A31)),"CUST-"&amp;UPPER(TRIM(Raw_Data!A31)))</f>
        <v>CUST-1028</v>
      </c>
      <c r="B31" s="55" t="str">
        <f>Raw_Data!B31</f>
        <v>ACC-008066</v>
      </c>
      <c r="C31" s="55" t="str">
        <f>PROPER(TRIM(CLEAN(Raw_Data!C31)))</f>
        <v>Rajan Pillai</v>
      </c>
      <c r="D31" s="55" t="str">
        <f>Raw_Data!D31</f>
        <v>25/08/2026</v>
      </c>
      <c r="E31" s="55" t="str">
        <f>PROPER(TRIM(Raw_Data!E31))</f>
        <v>Credit</v>
      </c>
      <c r="F31" s="64">
        <f>IFERROR(VALUE(SUBSTITUTE(SUBSTITUTE(TRIM(Raw_Data!F31),"$",""),",","")),"CHECK")</f>
        <v>14000</v>
      </c>
      <c r="G31" s="55" t="str">
        <f>Raw_Data!G31</f>
        <v>INR</v>
      </c>
      <c r="H31" s="55" t="str">
        <f>IF(TRIM(Raw_Data!H31)="","UNKNOWN",TRIM(Raw_Data!H31))</f>
        <v>BRN-04</v>
      </c>
      <c r="I31" s="55" t="str">
        <f>Raw_Data!I31</f>
        <v>TXN-0028</v>
      </c>
      <c r="J31" s="62" t="str">
        <f>PROPER(TRIM(CLEAN(Raw_Data!J31)))</f>
        <v>Salary Advance</v>
      </c>
      <c r="K31" s="55"/>
      <c r="L31" s="20" t="str">
        <f>IF(COUNTIF($J$2:J31,J31)&gt;1,"DUPLICATE","OK")</f>
        <v>OK</v>
      </c>
    </row>
    <row r="32" spans="1:12" x14ac:dyDescent="0.2">
      <c r="A32" s="61"/>
      <c r="B32" s="55"/>
      <c r="C32" s="55"/>
      <c r="D32" s="55"/>
      <c r="E32" s="55"/>
      <c r="F32" s="66"/>
      <c r="G32" s="55"/>
      <c r="H32" s="55"/>
      <c r="I32" s="55"/>
      <c r="J32" s="62"/>
      <c r="K32" s="55"/>
    </row>
    <row r="33" spans="1:10" ht="21.75" customHeight="1" x14ac:dyDescent="0.2">
      <c r="A33" s="84" t="s">
        <v>287</v>
      </c>
      <c r="B33" s="84"/>
      <c r="C33" s="84"/>
      <c r="D33" s="84"/>
      <c r="E33" s="84"/>
      <c r="F33" s="84"/>
      <c r="G33" s="84"/>
      <c r="H33" s="84"/>
      <c r="I33" s="84"/>
      <c r="J33" s="84"/>
    </row>
    <row r="35" spans="1:10" ht="24" customHeight="1" x14ac:dyDescent="0.2">
      <c r="A35" s="85" t="s">
        <v>288</v>
      </c>
      <c r="B35" s="85"/>
      <c r="C35" s="85"/>
      <c r="D35" s="85"/>
      <c r="E35" s="85"/>
      <c r="F35" s="85"/>
      <c r="G35" s="85"/>
      <c r="H35" s="85"/>
      <c r="I35" s="85"/>
      <c r="J35" s="85"/>
    </row>
    <row r="36" spans="1:10" ht="21.75" customHeight="1" x14ac:dyDescent="0.2">
      <c r="A36" s="1" t="s">
        <v>289</v>
      </c>
      <c r="B36" s="86" t="s">
        <v>290</v>
      </c>
      <c r="C36" s="86"/>
      <c r="D36" s="86"/>
      <c r="E36" s="86"/>
      <c r="F36" s="86"/>
      <c r="G36" s="87" t="s">
        <v>291</v>
      </c>
      <c r="H36" s="87"/>
      <c r="I36" s="87"/>
      <c r="J36" s="87"/>
    </row>
    <row r="37" spans="1:10" ht="21.75" customHeight="1" x14ac:dyDescent="0.2">
      <c r="A37" s="1" t="s">
        <v>292</v>
      </c>
      <c r="B37" s="86" t="s">
        <v>293</v>
      </c>
      <c r="C37" s="86"/>
      <c r="D37" s="86"/>
      <c r="E37" s="86"/>
      <c r="F37" s="86"/>
      <c r="G37" s="87" t="s">
        <v>294</v>
      </c>
      <c r="H37" s="87"/>
      <c r="I37" s="87"/>
      <c r="J37" s="87"/>
    </row>
    <row r="38" spans="1:10" ht="21.75" customHeight="1" x14ac:dyDescent="0.2">
      <c r="A38" s="1" t="s">
        <v>295</v>
      </c>
      <c r="B38" s="86" t="s">
        <v>296</v>
      </c>
      <c r="C38" s="86"/>
      <c r="D38" s="86"/>
      <c r="E38" s="86"/>
      <c r="F38" s="86"/>
      <c r="G38" s="87" t="s">
        <v>297</v>
      </c>
      <c r="H38" s="87"/>
      <c r="I38" s="87"/>
      <c r="J38" s="87"/>
    </row>
    <row r="39" spans="1:10" ht="21.75" customHeight="1" x14ac:dyDescent="0.2">
      <c r="A39" s="1" t="s">
        <v>298</v>
      </c>
      <c r="B39" s="86" t="s">
        <v>299</v>
      </c>
      <c r="C39" s="86"/>
      <c r="D39" s="86"/>
      <c r="E39" s="86"/>
      <c r="F39" s="86"/>
      <c r="G39" s="87" t="s">
        <v>300</v>
      </c>
      <c r="H39" s="87"/>
      <c r="I39" s="87"/>
      <c r="J39" s="87"/>
    </row>
    <row r="40" spans="1:10" ht="21.75" customHeight="1" x14ac:dyDescent="0.2">
      <c r="A40" s="1" t="s">
        <v>301</v>
      </c>
      <c r="B40" s="86" t="s">
        <v>302</v>
      </c>
      <c r="C40" s="86"/>
      <c r="D40" s="86"/>
      <c r="E40" s="86"/>
      <c r="F40" s="86"/>
      <c r="G40" s="87" t="s">
        <v>303</v>
      </c>
      <c r="H40" s="87"/>
      <c r="I40" s="87"/>
      <c r="J40" s="87"/>
    </row>
    <row r="42" spans="1:10" ht="18" customHeight="1" x14ac:dyDescent="0.2">
      <c r="A42" s="88" t="s">
        <v>304</v>
      </c>
      <c r="B42" s="88"/>
      <c r="C42" s="88"/>
      <c r="D42" s="88"/>
      <c r="E42" s="88"/>
      <c r="F42" s="88"/>
      <c r="G42" s="88"/>
      <c r="H42" s="88"/>
      <c r="I42" s="88"/>
      <c r="J42" s="88"/>
    </row>
    <row r="46" spans="1:10" x14ac:dyDescent="0.2">
      <c r="C46" s="67">
        <f>SUMIF(E3:E32,"Credit",F3:F32)/SUM(F3:F32)</f>
        <v>0.8628203381479318</v>
      </c>
      <c r="D46" s="65"/>
    </row>
  </sheetData>
  <mergeCells count="13">
    <mergeCell ref="A42:J42"/>
    <mergeCell ref="B38:F38"/>
    <mergeCell ref="G38:J38"/>
    <mergeCell ref="B39:F39"/>
    <mergeCell ref="G39:J39"/>
    <mergeCell ref="B40:F40"/>
    <mergeCell ref="G40:J40"/>
    <mergeCell ref="A33:J33"/>
    <mergeCell ref="A35:J35"/>
    <mergeCell ref="B36:F36"/>
    <mergeCell ref="G36:J36"/>
    <mergeCell ref="B37:F37"/>
    <mergeCell ref="G37:J3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8C3C-008F-BE4A-A5F6-80709E2F5682}">
  <dimension ref="E4:J21"/>
  <sheetViews>
    <sheetView workbookViewId="0">
      <selection activeCell="F21" sqref="F21"/>
    </sheetView>
  </sheetViews>
  <sheetFormatPr baseColWidth="10" defaultRowHeight="15" x14ac:dyDescent="0.2"/>
  <cols>
    <col min="6" max="6" width="17.1640625" customWidth="1"/>
    <col min="7" max="7" width="14.33203125" customWidth="1"/>
    <col min="9" max="9" width="15.6640625" customWidth="1"/>
    <col min="10" max="10" width="16.1640625" customWidth="1"/>
  </cols>
  <sheetData>
    <row r="4" spans="5:10" x14ac:dyDescent="0.2">
      <c r="E4" s="70" t="s">
        <v>413</v>
      </c>
      <c r="F4" s="70" t="s">
        <v>414</v>
      </c>
      <c r="G4" s="70" t="s">
        <v>415</v>
      </c>
      <c r="H4" s="70" t="s">
        <v>416</v>
      </c>
      <c r="I4" s="70" t="s">
        <v>427</v>
      </c>
      <c r="J4" s="72" t="s">
        <v>428</v>
      </c>
    </row>
    <row r="5" spans="5:10" x14ac:dyDescent="0.2">
      <c r="E5" s="71">
        <v>1</v>
      </c>
      <c r="F5" s="71" t="s">
        <v>417</v>
      </c>
      <c r="G5" s="71">
        <v>10000</v>
      </c>
      <c r="H5" s="71">
        <v>0.5</v>
      </c>
      <c r="I5" s="71">
        <f>G5+H5</f>
        <v>10000.5</v>
      </c>
      <c r="J5">
        <f>$G$5 *10</f>
        <v>100000</v>
      </c>
    </row>
    <row r="6" spans="5:10" x14ac:dyDescent="0.2">
      <c r="E6" s="71">
        <v>2</v>
      </c>
      <c r="F6" s="71" t="s">
        <v>418</v>
      </c>
      <c r="G6" s="71">
        <v>12330</v>
      </c>
      <c r="H6" s="71">
        <v>0.4</v>
      </c>
      <c r="I6" s="71">
        <f t="shared" ref="I6:I14" si="0">G6+H6</f>
        <v>12330.4</v>
      </c>
      <c r="J6">
        <f t="shared" ref="J6:J14" si="1">$G$5 *10</f>
        <v>100000</v>
      </c>
    </row>
    <row r="7" spans="5:10" x14ac:dyDescent="0.2">
      <c r="E7" s="71">
        <v>3</v>
      </c>
      <c r="F7" s="71" t="s">
        <v>419</v>
      </c>
      <c r="G7" s="71">
        <v>34555</v>
      </c>
      <c r="H7" s="71">
        <v>0.6</v>
      </c>
      <c r="I7" s="71">
        <f t="shared" si="0"/>
        <v>34555.599999999999</v>
      </c>
      <c r="J7">
        <f t="shared" si="1"/>
        <v>100000</v>
      </c>
    </row>
    <row r="8" spans="5:10" x14ac:dyDescent="0.2">
      <c r="E8" s="71">
        <v>4</v>
      </c>
      <c r="F8" s="71" t="s">
        <v>420</v>
      </c>
      <c r="G8" s="71">
        <v>456566</v>
      </c>
      <c r="H8" s="71">
        <v>0.7</v>
      </c>
      <c r="I8" s="71">
        <f t="shared" si="0"/>
        <v>456566.7</v>
      </c>
      <c r="J8">
        <f t="shared" si="1"/>
        <v>100000</v>
      </c>
    </row>
    <row r="9" spans="5:10" x14ac:dyDescent="0.2">
      <c r="E9" s="71">
        <v>5</v>
      </c>
      <c r="F9" s="71" t="s">
        <v>421</v>
      </c>
      <c r="G9" s="71">
        <v>34534</v>
      </c>
      <c r="H9" s="71">
        <v>0.2</v>
      </c>
      <c r="I9" s="71">
        <f t="shared" si="0"/>
        <v>34534.199999999997</v>
      </c>
      <c r="J9">
        <f t="shared" si="1"/>
        <v>100000</v>
      </c>
    </row>
    <row r="10" spans="5:10" x14ac:dyDescent="0.2">
      <c r="E10" s="71">
        <v>6</v>
      </c>
      <c r="F10" s="71" t="s">
        <v>422</v>
      </c>
      <c r="G10" s="71">
        <v>50000</v>
      </c>
      <c r="H10" s="71">
        <v>0.5</v>
      </c>
      <c r="I10" s="71">
        <f t="shared" si="0"/>
        <v>50000.5</v>
      </c>
      <c r="J10">
        <f t="shared" si="1"/>
        <v>100000</v>
      </c>
    </row>
    <row r="11" spans="5:10" x14ac:dyDescent="0.2">
      <c r="E11" s="71">
        <v>7</v>
      </c>
      <c r="F11" s="71" t="s">
        <v>423</v>
      </c>
      <c r="G11" s="71">
        <v>78900</v>
      </c>
      <c r="H11" s="71">
        <v>0.4</v>
      </c>
      <c r="I11" s="71">
        <f t="shared" si="0"/>
        <v>78900.399999999994</v>
      </c>
      <c r="J11">
        <f t="shared" si="1"/>
        <v>100000</v>
      </c>
    </row>
    <row r="12" spans="5:10" x14ac:dyDescent="0.2">
      <c r="E12" s="71">
        <v>8</v>
      </c>
      <c r="F12" s="71" t="s">
        <v>424</v>
      </c>
      <c r="G12" s="71">
        <v>765476</v>
      </c>
      <c r="H12" s="71">
        <v>0.3</v>
      </c>
      <c r="I12" s="71">
        <f t="shared" si="0"/>
        <v>765476.3</v>
      </c>
      <c r="J12">
        <f t="shared" si="1"/>
        <v>100000</v>
      </c>
    </row>
    <row r="13" spans="5:10" x14ac:dyDescent="0.2">
      <c r="E13" s="71">
        <v>9</v>
      </c>
      <c r="F13" s="71" t="s">
        <v>425</v>
      </c>
      <c r="G13" s="71">
        <v>234324</v>
      </c>
      <c r="H13" s="71">
        <v>0.9</v>
      </c>
      <c r="I13" s="71">
        <f t="shared" si="0"/>
        <v>234324.9</v>
      </c>
      <c r="J13">
        <f t="shared" si="1"/>
        <v>100000</v>
      </c>
    </row>
    <row r="14" spans="5:10" x14ac:dyDescent="0.2">
      <c r="E14" s="71">
        <v>10</v>
      </c>
      <c r="F14" s="71" t="s">
        <v>426</v>
      </c>
      <c r="G14" s="71">
        <v>97979</v>
      </c>
      <c r="H14" s="71">
        <v>0.2</v>
      </c>
      <c r="I14" s="71">
        <f t="shared" si="0"/>
        <v>97979.199999999997</v>
      </c>
      <c r="J14">
        <f t="shared" si="1"/>
        <v>100000</v>
      </c>
    </row>
    <row r="15" spans="5:10" x14ac:dyDescent="0.2">
      <c r="E15" s="71"/>
      <c r="F15" s="71"/>
      <c r="G15" s="71"/>
      <c r="H15" s="71"/>
      <c r="I15" s="71"/>
    </row>
    <row r="21" spans="6:6" x14ac:dyDescent="0.2">
      <c r="F21" s="75">
        <v>46235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91" t="s">
        <v>0</v>
      </c>
      <c r="C1" s="91"/>
      <c r="D1" s="91"/>
    </row>
    <row r="2" spans="2:4" ht="19.5" customHeight="1" x14ac:dyDescent="0.2">
      <c r="B2" s="92" t="s">
        <v>1</v>
      </c>
      <c r="C2" s="92"/>
      <c r="D2" s="92"/>
    </row>
    <row r="3" spans="2:4" ht="9.75" customHeight="1" x14ac:dyDescent="0.2"/>
    <row r="4" spans="2:4" ht="21.75" customHeight="1" x14ac:dyDescent="0.2">
      <c r="B4" s="89" t="s">
        <v>2</v>
      </c>
      <c r="C4" s="89"/>
      <c r="D4" s="89"/>
    </row>
    <row r="5" spans="2:4" ht="43.5" customHeight="1" x14ac:dyDescent="0.2">
      <c r="B5" s="93" t="s">
        <v>3</v>
      </c>
      <c r="C5" s="93"/>
      <c r="D5" s="93"/>
    </row>
    <row r="6" spans="2:4" ht="7.5" customHeight="1" x14ac:dyDescent="0.2"/>
    <row r="7" spans="2:4" ht="21.75" customHeight="1" x14ac:dyDescent="0.2">
      <c r="B7" s="89" t="s">
        <v>4</v>
      </c>
      <c r="C7" s="89"/>
      <c r="D7" s="89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89" t="s">
        <v>26</v>
      </c>
      <c r="C18" s="89"/>
      <c r="D18" s="89"/>
    </row>
    <row r="19" spans="2:4" ht="19.5" customHeight="1" x14ac:dyDescent="0.2">
      <c r="B19" s="5" t="s">
        <v>27</v>
      </c>
      <c r="C19" s="90" t="s">
        <v>28</v>
      </c>
      <c r="D19" s="90"/>
    </row>
    <row r="20" spans="2:4" ht="19.5" customHeight="1" x14ac:dyDescent="0.2">
      <c r="B20" s="5" t="s">
        <v>29</v>
      </c>
      <c r="C20" s="90" t="s">
        <v>30</v>
      </c>
      <c r="D20" s="90"/>
    </row>
    <row r="21" spans="2:4" ht="19.5" customHeight="1" x14ac:dyDescent="0.2">
      <c r="B21" s="5" t="s">
        <v>31</v>
      </c>
      <c r="C21" s="90" t="s">
        <v>32</v>
      </c>
      <c r="D21" s="90"/>
    </row>
    <row r="22" spans="2:4" ht="19.5" customHeight="1" x14ac:dyDescent="0.2">
      <c r="B22" s="5" t="s">
        <v>33</v>
      </c>
      <c r="C22" s="90" t="s">
        <v>34</v>
      </c>
      <c r="D22" s="90"/>
    </row>
  </sheetData>
  <mergeCells count="10">
    <mergeCell ref="B1:D1"/>
    <mergeCell ref="B2:D2"/>
    <mergeCell ref="B4:D4"/>
    <mergeCell ref="B5:D5"/>
    <mergeCell ref="B7:D7"/>
    <mergeCell ref="B18:D18"/>
    <mergeCell ref="C19:D19"/>
    <mergeCell ref="C20:D20"/>
    <mergeCell ref="C21:D21"/>
    <mergeCell ref="C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5899-0232-D844-9AD8-158ED0D8081E}">
  <dimension ref="A1:V34"/>
  <sheetViews>
    <sheetView showGridLines="0" topLeftCell="B1" zoomScale="130" zoomScaleNormal="130" workbookViewId="0">
      <pane ySplit="1" topLeftCell="A2" activePane="bottomLeft" state="frozen"/>
      <selection activeCell="B1" sqref="B1"/>
      <selection pane="bottomLeft" activeCell="N19" sqref="N19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hidden="1" customWidth="1"/>
    <col min="6" max="6" width="14" hidden="1" customWidth="1"/>
    <col min="7" max="7" width="10" hidden="1" customWidth="1"/>
    <col min="8" max="8" width="14" hidden="1" customWidth="1"/>
    <col min="9" max="9" width="18" hidden="1" customWidth="1"/>
    <col min="10" max="10" width="38" hidden="1" customWidth="1"/>
    <col min="11" max="11" width="30" hidden="1" customWidth="1"/>
    <col min="12" max="12" width="26.83203125" customWidth="1"/>
    <col min="13" max="13" width="11.33203125" customWidth="1"/>
    <col min="14" max="14" width="23.33203125" customWidth="1"/>
    <col min="15" max="15" width="19.6640625" customWidth="1"/>
    <col min="16" max="16" width="17.33203125" customWidth="1"/>
    <col min="18" max="18" width="16" customWidth="1"/>
    <col min="22" max="22" width="24" customWidth="1"/>
  </cols>
  <sheetData>
    <row r="1" spans="1:22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73" t="s">
        <v>431</v>
      </c>
      <c r="N1" s="73"/>
      <c r="O1" s="73" t="s">
        <v>432</v>
      </c>
    </row>
    <row r="2" spans="1:22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16"/>
      <c r="O2" s="74" t="str">
        <f>IF(ISNUMBER(M2),"Valid Date","Not a Date")</f>
        <v>Not a Date</v>
      </c>
    </row>
    <row r="3" spans="1:22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  <c r="N3" s="16"/>
    </row>
    <row r="4" spans="1:22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V4" s="17"/>
    </row>
    <row r="5" spans="1:22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2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V6" s="18"/>
    </row>
    <row r="7" spans="1:22" ht="18" customHeight="1" x14ac:dyDescent="0.2">
      <c r="A7" s="8" t="s">
        <v>93</v>
      </c>
      <c r="B7" s="8" t="s">
        <v>94</v>
      </c>
      <c r="C7" s="8" t="s">
        <v>95</v>
      </c>
      <c r="D7" s="22">
        <v>46240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2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  <c r="L8" s="77" t="s">
        <v>433</v>
      </c>
      <c r="M8" t="b">
        <f>ISNUMBER(D8)</f>
        <v>0</v>
      </c>
      <c r="N8" s="80" t="s">
        <v>434</v>
      </c>
      <c r="O8">
        <f>DATEVALUE(D8)</f>
        <v>46241</v>
      </c>
      <c r="P8" s="78" t="s">
        <v>435</v>
      </c>
      <c r="Q8" t="b">
        <f>ISNUMBER(O8)</f>
        <v>1</v>
      </c>
    </row>
    <row r="9" spans="1:22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  <c r="L9" s="79"/>
    </row>
    <row r="10" spans="1:22" ht="24" customHeight="1" x14ac:dyDescent="0.2">
      <c r="A10" s="14" t="s">
        <v>119</v>
      </c>
      <c r="B10" s="14" t="s">
        <v>120</v>
      </c>
      <c r="C10" s="14" t="s">
        <v>121</v>
      </c>
      <c r="D10" s="82">
        <v>46243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L10" s="81" t="s">
        <v>436</v>
      </c>
      <c r="M10" s="18" t="e">
        <f>DATE(LEFT(D10,4),MID(D10,6,2),RIGHT(D10,2))</f>
        <v>#VALUE!</v>
      </c>
      <c r="N10" s="80" t="s">
        <v>438</v>
      </c>
      <c r="O10" t="b">
        <f>ISNUMBER(D10)</f>
        <v>1</v>
      </c>
      <c r="P10" s="78" t="s">
        <v>437</v>
      </c>
      <c r="Q10" t="b">
        <f>ISNUMBER(M10)</f>
        <v>0</v>
      </c>
      <c r="V10" s="19"/>
    </row>
    <row r="11" spans="1:22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2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2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2" ht="30" customHeight="1" x14ac:dyDescent="0.2">
      <c r="A14" s="14" t="s">
        <v>67</v>
      </c>
      <c r="B14" s="14" t="s">
        <v>68</v>
      </c>
      <c r="C14" s="14" t="s">
        <v>69</v>
      </c>
      <c r="D14" s="82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  <c r="L14" s="77" t="s">
        <v>439</v>
      </c>
      <c r="M14" s="18">
        <f>DATE(RIGHT(D14,4),MID(D14,4,2),LEFT(D14,2))</f>
        <v>46235</v>
      </c>
      <c r="P14" s="76" t="s">
        <v>440</v>
      </c>
      <c r="Q14" t="b">
        <f>ISNUMBER(M14)</f>
        <v>1</v>
      </c>
    </row>
    <row r="15" spans="1:22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2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7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7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7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7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7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7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  <c r="Q22" s="80"/>
    </row>
    <row r="23" spans="1:17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7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7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7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7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7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7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7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7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83" t="s">
        <v>279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CEBF-7B91-A246-A867-A9A67D22ED2C}">
  <dimension ref="A1:AC33"/>
  <sheetViews>
    <sheetView tabSelected="1" workbookViewId="0">
      <selection activeCell="AD1" sqref="AD1:AM1048576"/>
    </sheetView>
  </sheetViews>
  <sheetFormatPr baseColWidth="10" defaultRowHeight="15" x14ac:dyDescent="0.2"/>
  <sheetData>
    <row r="1" spans="1:29" ht="112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3" t="s">
        <v>305</v>
      </c>
      <c r="L1" s="23" t="s">
        <v>441</v>
      </c>
      <c r="M1" s="23" t="s">
        <v>442</v>
      </c>
      <c r="N1" s="23" t="s">
        <v>443</v>
      </c>
      <c r="O1" s="23" t="s">
        <v>444</v>
      </c>
      <c r="P1" s="23" t="s">
        <v>445</v>
      </c>
      <c r="Q1" s="23" t="s">
        <v>446</v>
      </c>
      <c r="R1" s="23" t="s">
        <v>447</v>
      </c>
      <c r="S1" s="23" t="s">
        <v>448</v>
      </c>
      <c r="T1" s="23" t="s">
        <v>449</v>
      </c>
      <c r="U1" s="23" t="s">
        <v>450</v>
      </c>
      <c r="V1" s="23" t="s">
        <v>451</v>
      </c>
      <c r="W1" s="101" t="s">
        <v>452</v>
      </c>
      <c r="X1" s="23" t="s">
        <v>453</v>
      </c>
      <c r="Y1" s="23" t="s">
        <v>454</v>
      </c>
      <c r="Z1" s="23" t="s">
        <v>455</v>
      </c>
      <c r="AA1" s="23" t="s">
        <v>456</v>
      </c>
      <c r="AB1" s="23" t="s">
        <v>457</v>
      </c>
      <c r="AC1" s="23" t="s">
        <v>458</v>
      </c>
    </row>
    <row r="2" spans="1:29" ht="28" x14ac:dyDescent="0.2">
      <c r="A2" s="10" t="str">
        <f>IF(LEFT(TRIM([1]Raw_Data!A7),5)="CUST-",UPPER(TRIM([1]Raw_Data!A7)),"CUST-"&amp;UPPER(TRIM([1]Raw_Data!A7)))</f>
        <v>CUST-CUST -1006</v>
      </c>
      <c r="B2" s="10" t="str">
        <f>[1]Raw_Data!B7</f>
        <v>ACC-330408</v>
      </c>
      <c r="C2" s="102" t="str">
        <f>PROPER(TRIM(CLEAN([1]Raw_Data!C7)))</f>
        <v>Amit Patel</v>
      </c>
      <c r="D2" s="10" t="str">
        <f>[1]Raw_Data!D7</f>
        <v>2026-08-06</v>
      </c>
      <c r="E2" s="10" t="str">
        <f>PROPER(TRIM([1]Raw_Data!E7))</f>
        <v>Debit</v>
      </c>
      <c r="F2" s="10">
        <f>IFERROR(VALUE(SUBSTITUTE(SUBSTITUTE(TRIM([1]Raw_Data!F7),"$",""),",","")),"CHECK")</f>
        <v>1200.5</v>
      </c>
      <c r="G2" s="10" t="str">
        <f>[1]Raw_Data!G7</f>
        <v>INR</v>
      </c>
      <c r="H2" s="10" t="str">
        <f>IF(TRIM([1]Raw_Data!H7)="","UNKNOWN",TRIM([1]Raw_Data!H7))</f>
        <v>BRN-02</v>
      </c>
      <c r="I2" s="10" t="str">
        <f>[1]Raw_Data!I7</f>
        <v>TXN-0006</v>
      </c>
      <c r="J2" s="10" t="str">
        <f>PROPER(TRIM(CLEAN([1]Raw_Data!J7)))</f>
        <v>Utility Bill Payment</v>
      </c>
      <c r="K2" s="20" t="str">
        <f>IF(COUNTIF($J$2:J2,J2)&gt;1,"DUPLICATE","OK")</f>
        <v>OK</v>
      </c>
      <c r="L2" s="63">
        <f>COUNT(F2:F31)</f>
        <v>29</v>
      </c>
      <c r="M2">
        <f>SUM(F2:F31)</f>
        <v>281900.5</v>
      </c>
      <c r="N2">
        <f>AVERAGE(F2:F31)</f>
        <v>9720.7068965517246</v>
      </c>
      <c r="O2" s="103" t="b">
        <f>ISNUMBER(F2)</f>
        <v>1</v>
      </c>
      <c r="P2" t="b">
        <f>ISTEXT(F2)</f>
        <v>0</v>
      </c>
      <c r="Q2">
        <f>COUNTA(F2:F31)</f>
        <v>30</v>
      </c>
      <c r="R2">
        <f>MAX(F2:F31)</f>
        <v>45000</v>
      </c>
      <c r="S2">
        <f>MIN(F2:F31)</f>
        <v>250</v>
      </c>
      <c r="T2" s="104">
        <f>COUNTIF(E2:E31,"Credit")</f>
        <v>15</v>
      </c>
      <c r="U2">
        <f>COUNTIF(E2:E31,"Debit")</f>
        <v>15</v>
      </c>
      <c r="V2">
        <f>SUMIF(E2:E31,"Credit",F2:F31)</f>
        <v>245150</v>
      </c>
      <c r="W2">
        <f>SUMIF(E2:E31,"Debit",F2:F31)</f>
        <v>36750.5</v>
      </c>
      <c r="X2" t="str">
        <f>IF(COUNTIF(I2:I31,I2)&gt;1,"Duplicate","Unique")</f>
        <v>Unique</v>
      </c>
      <c r="Y2">
        <f>COUNTIF(H2:H31,"UNKNOWN")</f>
        <v>6</v>
      </c>
      <c r="Z2">
        <f>COUNTIF(F2:F31,"CHECK")</f>
        <v>1</v>
      </c>
      <c r="AA2">
        <f>COUNTIF(I:I,I2)</f>
        <v>1</v>
      </c>
      <c r="AB2">
        <f>COUNTIF(A:A,A2)</f>
        <v>1</v>
      </c>
      <c r="AC2" s="105">
        <f>COUNTIFS(A:A,A2,I:I,I2)</f>
        <v>1</v>
      </c>
    </row>
    <row r="3" spans="1:29" ht="42" x14ac:dyDescent="0.2">
      <c r="A3" s="10" t="str">
        <f>IF(LEFT(TRIM([1]Raw_Data!A4),5)="CUST-",UPPER(TRIM([1]Raw_Data!A4)),"CUST-"&amp;UPPER(TRIM([1]Raw_Data!A4)))</f>
        <v>CUST-1003</v>
      </c>
      <c r="B3" s="10" t="str">
        <f>[1]Raw_Data!B4</f>
        <v>ACC-663741</v>
      </c>
      <c r="C3" s="10" t="str">
        <f>PROPER(TRIM(CLEAN([1]Raw_Data!C4)))</f>
        <v>Ananya Iyer</v>
      </c>
      <c r="D3" s="10" t="str">
        <f>[1]Raw_Data!D4</f>
        <v>01/08/2026</v>
      </c>
      <c r="E3" s="21" t="str">
        <f>PROPER(TRIM([1]Raw_Data!E4))</f>
        <v>Credit</v>
      </c>
      <c r="F3" s="10">
        <f>IFERROR(VALUE(SUBSTITUTE(SUBSTITUTE(TRIM([1]Raw_Data!F4),"$",""),",","")),"CHECK")</f>
        <v>22000</v>
      </c>
      <c r="G3" s="10" t="str">
        <f>[1]Raw_Data!G4</f>
        <v>INR</v>
      </c>
      <c r="H3" s="21" t="str">
        <f>IF(TRIM([1]Raw_Data!H4)="","UNKNOWN",TRIM([1]Raw_Data!H4))</f>
        <v>UNKNOWN</v>
      </c>
      <c r="I3" s="106" t="str">
        <f>[1]Raw_Data!I4</f>
        <v>TXN-0003</v>
      </c>
      <c r="J3" s="10" t="str">
        <f>PROPER(TRIM(CLEAN([1]Raw_Data!J4)))</f>
        <v>Loan Disbursement [Sys]</v>
      </c>
      <c r="K3" s="20" t="str">
        <f>IF(COUNTIF($J$2:J3,J3)&gt;1,"DUPLICATE","OK")</f>
        <v>OK</v>
      </c>
      <c r="X3" t="str">
        <f t="shared" ref="X3:X31" si="0">IF(COUNTIF(I3:I32,I3)&gt;1,"Duplicate","Unique")</f>
        <v>Duplicate</v>
      </c>
      <c r="AA3">
        <f t="shared" ref="AA3:AA32" si="1">COUNTIF(I:I,I3)</f>
        <v>3</v>
      </c>
      <c r="AB3">
        <f t="shared" ref="AB3:AB32" si="2">COUNTIF(A:A,A3)</f>
        <v>2</v>
      </c>
      <c r="AC3" s="105">
        <f t="shared" ref="AC3:AC32" si="3">COUNTIFS(A:A,A3,I:I,I3)</f>
        <v>2</v>
      </c>
    </row>
    <row r="4" spans="1:29" ht="42" x14ac:dyDescent="0.2">
      <c r="A4" s="10" t="str">
        <f>IF(LEFT(TRIM([1]Raw_Data!A14),5)="CUST-",UPPER(TRIM([1]Raw_Data!A14)),"CUST-"&amp;UPPER(TRIM([1]Raw_Data!A14)))</f>
        <v>CUST-1003</v>
      </c>
      <c r="B4" s="10" t="str">
        <f>[1]Raw_Data!B14</f>
        <v>ACC-663741</v>
      </c>
      <c r="C4" s="10" t="str">
        <f>PROPER(TRIM(CLEAN([1]Raw_Data!C14)))</f>
        <v>Ananya Iyer</v>
      </c>
      <c r="D4" s="10" t="str">
        <f>[1]Raw_Data!D14</f>
        <v>01/08/2026</v>
      </c>
      <c r="E4" s="21" t="str">
        <f>PROPER(TRIM([1]Raw_Data!E14))</f>
        <v>Credit</v>
      </c>
      <c r="F4" s="10">
        <v>21000</v>
      </c>
      <c r="G4" s="10" t="str">
        <f>[1]Raw_Data!G14</f>
        <v>INR</v>
      </c>
      <c r="H4" s="21" t="str">
        <f>IF(TRIM([1]Raw_Data!H14)="","UNKNOWN",TRIM([1]Raw_Data!H14))</f>
        <v>UNKNOWN</v>
      </c>
      <c r="I4" s="106" t="str">
        <f>[1]Raw_Data!I14</f>
        <v>TXN-0003</v>
      </c>
      <c r="J4" s="10" t="str">
        <f>PROPER(TRIM(CLEAN([1]Raw_Data!J14)))</f>
        <v>Loan Disbursement</v>
      </c>
      <c r="K4" s="20" t="str">
        <f>IF(COUNTIF($J$2:J4,J4)&gt;1,"DUPLICATE","OK")</f>
        <v>OK</v>
      </c>
      <c r="L4" s="107"/>
      <c r="X4" t="str">
        <f t="shared" si="0"/>
        <v>Duplicate</v>
      </c>
      <c r="AA4">
        <f t="shared" si="1"/>
        <v>3</v>
      </c>
      <c r="AB4">
        <f t="shared" si="2"/>
        <v>2</v>
      </c>
      <c r="AC4" s="105">
        <f t="shared" si="3"/>
        <v>2</v>
      </c>
    </row>
    <row r="5" spans="1:29" ht="28" x14ac:dyDescent="0.2">
      <c r="A5" s="10" t="str">
        <f>IF(LEFT(TRIM([1]Raw_Data!A11),5)="CUST-",UPPER(TRIM([1]Raw_Data!A11)),"CUST-"&amp;UPPER(TRIM([1]Raw_Data!A11)))</f>
        <v>CUST-1010</v>
      </c>
      <c r="B5" s="10" t="str">
        <f>[1]Raw_Data!B11</f>
        <v>ACC-996064</v>
      </c>
      <c r="C5" s="102" t="str">
        <f>PROPER(TRIM(CLEAN([1]Raw_Data!C11)))</f>
        <v>Arjun Bose</v>
      </c>
      <c r="D5" s="10" t="str">
        <f>[1]Raw_Data!D11</f>
        <v>2026-08-10</v>
      </c>
      <c r="E5" s="21" t="str">
        <f>PROPER(TRIM([1]Raw_Data!E11))</f>
        <v>Credit</v>
      </c>
      <c r="F5" s="10">
        <f>IFERROR(VALUE(SUBSTITUTE(SUBSTITUTE(TRIM([1]Raw_Data!F11),"$",""),",","")),"CHECK")</f>
        <v>11000</v>
      </c>
      <c r="G5" s="10" t="str">
        <f>[1]Raw_Data!G11</f>
        <v>INR</v>
      </c>
      <c r="H5" s="10" t="str">
        <f>IF(TRIM([1]Raw_Data!H11)="","UNKNOWN",TRIM([1]Raw_Data!H11))</f>
        <v>BRN-01</v>
      </c>
      <c r="I5" s="10" t="str">
        <f>[1]Raw_Data!I11</f>
        <v>TXN-0010</v>
      </c>
      <c r="J5" s="10" t="str">
        <f>PROPER(TRIM(CLEAN([1]Raw_Data!J11)))</f>
        <v>Dividend Received</v>
      </c>
      <c r="K5" s="20" t="str">
        <f>IF(COUNTIF($J$2:J5,J5)&gt;1,"DUPLICATE","OK")</f>
        <v>OK</v>
      </c>
      <c r="X5" t="str">
        <f t="shared" si="0"/>
        <v>Unique</v>
      </c>
      <c r="AA5">
        <f t="shared" si="1"/>
        <v>1</v>
      </c>
      <c r="AB5">
        <f t="shared" si="2"/>
        <v>1</v>
      </c>
      <c r="AC5" s="105">
        <f t="shared" si="3"/>
        <v>1</v>
      </c>
    </row>
    <row r="6" spans="1:29" ht="56" x14ac:dyDescent="0.2">
      <c r="A6" s="10" t="str">
        <f>IF(LEFT(TRIM([1]Raw_Data!A9),5)="CUST-",UPPER(TRIM([1]Raw_Data!A9)),"CUST-"&amp;UPPER(TRIM([1]Raw_Data!A9)))</f>
        <v>CUST-1008</v>
      </c>
      <c r="B6" s="10" t="str">
        <f>[1]Raw_Data!B9</f>
        <v>ACC-118286</v>
      </c>
      <c r="C6" s="102" t="str">
        <f>PROPER(TRIM(CLEAN([1]Raw_Data!C9)))</f>
        <v>Deepak Verma</v>
      </c>
      <c r="D6" s="10" t="str">
        <f>[1]Raw_Data!D9</f>
        <v>08-Aug-2026</v>
      </c>
      <c r="E6" s="21" t="str">
        <f>PROPER(TRIM([1]Raw_Data!E9))</f>
        <v>Credit</v>
      </c>
      <c r="F6" s="21">
        <f>IFERROR(VALUE(SUBSTITUTE(SUBSTITUTE(TRIM([1]Raw_Data!F9),"$",""),",","")),"CHECK")</f>
        <v>45000</v>
      </c>
      <c r="G6" s="10" t="str">
        <f>[1]Raw_Data!G9</f>
        <v>INR</v>
      </c>
      <c r="H6" s="21" t="str">
        <f>IF(TRIM([1]Raw_Data!H9)="","UNKNOWN",TRIM([1]Raw_Data!H9))</f>
        <v>UNKNOWN</v>
      </c>
      <c r="I6" s="10" t="str">
        <f>[1]Raw_Data!I9</f>
        <v>TXN-0008</v>
      </c>
      <c r="J6" s="10" t="str">
        <f>PROPER(TRIM(CLEAN([1]Raw_Data!J9)))</f>
        <v>Property Rent Collected Extra</v>
      </c>
      <c r="K6" s="20" t="str">
        <f>IF(COUNTIF($J$2:J6,J6)&gt;1,"DUPLICATE","OK")</f>
        <v>OK</v>
      </c>
      <c r="X6" t="str">
        <f t="shared" si="0"/>
        <v>Unique</v>
      </c>
      <c r="AA6" s="108">
        <f t="shared" si="1"/>
        <v>1</v>
      </c>
      <c r="AB6">
        <f t="shared" si="2"/>
        <v>1</v>
      </c>
      <c r="AC6" s="105">
        <f t="shared" si="3"/>
        <v>1</v>
      </c>
    </row>
    <row r="7" spans="1:29" ht="28" x14ac:dyDescent="0.2">
      <c r="A7" s="10" t="str">
        <f>IF(LEFT(TRIM([1]Raw_Data!A22),5)="CUST-",UPPER(TRIM([1]Raw_Data!A22)),"CUST-"&amp;UPPER(TRIM([1]Raw_Data!A22)))</f>
        <v>CUST-1019</v>
      </c>
      <c r="B7" s="10" t="str">
        <f>[1]Raw_Data!B22</f>
        <v>ACC-997065</v>
      </c>
      <c r="C7" s="10" t="str">
        <f>PROPER(TRIM(CLEAN([1]Raw_Data!C22)))</f>
        <v>Divya Nambiar</v>
      </c>
      <c r="D7" s="10" t="str">
        <f>[1]Raw_Data!D22</f>
        <v>21-Aug-2026</v>
      </c>
      <c r="E7" s="10" t="str">
        <f>PROPER(TRIM([1]Raw_Data!E22))</f>
        <v>Debit</v>
      </c>
      <c r="F7" s="10">
        <f>IFERROR(VALUE(SUBSTITUTE(SUBSTITUTE(TRIM([1]Raw_Data!F22),"$",""),",","")),"CHECK")</f>
        <v>600</v>
      </c>
      <c r="G7" s="10" t="str">
        <f>[1]Raw_Data!G22</f>
        <v>INR</v>
      </c>
      <c r="H7" s="21" t="str">
        <f>IF(TRIM([1]Raw_Data!H22)="","UNKNOWN",TRIM([1]Raw_Data!H22))</f>
        <v>UNKNOWN</v>
      </c>
      <c r="I7" s="10" t="str">
        <f>[1]Raw_Data!I22</f>
        <v>TXN-0019</v>
      </c>
      <c r="J7" s="10" t="str">
        <f>PROPER(TRIM(CLEAN([1]Raw_Data!J22)))</f>
        <v>Grocery Shopping</v>
      </c>
      <c r="K7" s="20" t="str">
        <f>IF(COUNTIF($J$2:J7,J7)&gt;1,"DUPLICATE","OK")</f>
        <v>OK</v>
      </c>
      <c r="X7" t="str">
        <f t="shared" si="0"/>
        <v>Unique</v>
      </c>
      <c r="AA7">
        <f t="shared" si="1"/>
        <v>1</v>
      </c>
      <c r="AB7">
        <f t="shared" si="2"/>
        <v>1</v>
      </c>
      <c r="AC7" s="105">
        <f t="shared" si="3"/>
        <v>1</v>
      </c>
    </row>
    <row r="8" spans="1:29" ht="28" x14ac:dyDescent="0.2">
      <c r="A8" s="10" t="str">
        <f>IF(LEFT(TRIM([1]Raw_Data!A26),5)="CUST-",UPPER(TRIM([1]Raw_Data!A26)),"CUST-"&amp;UPPER(TRIM([1]Raw_Data!A26)))</f>
        <v>CUST-1023</v>
      </c>
      <c r="B8" s="10" t="str">
        <f>[1]Raw_Data!B26</f>
        <v>ACC-553621</v>
      </c>
      <c r="C8" s="10" t="str">
        <f>PROPER(TRIM(CLEAN([1]Raw_Data!C26)))</f>
        <v>Geeta Pillai</v>
      </c>
      <c r="D8" s="10" t="str">
        <f>[1]Raw_Data!D26</f>
        <v>2026-08-25</v>
      </c>
      <c r="E8" s="10" t="str">
        <f>PROPER(TRIM([1]Raw_Data!E26))</f>
        <v>Debit</v>
      </c>
      <c r="F8" s="10">
        <f>IFERROR(VALUE(SUBSTITUTE(SUBSTITUTE(TRIM([1]Raw_Data!F26),"$",""),",","")),"CHECK")</f>
        <v>2100</v>
      </c>
      <c r="G8" s="10" t="str">
        <f>[1]Raw_Data!G26</f>
        <v>INR</v>
      </c>
      <c r="H8" s="21" t="str">
        <f>IF(TRIM([1]Raw_Data!H26)="","UNKNOWN",TRIM([1]Raw_Data!H26))</f>
        <v>UNKNOWN</v>
      </c>
      <c r="I8" s="10" t="str">
        <f>[1]Raw_Data!I26</f>
        <v>TXN-0023</v>
      </c>
      <c r="J8" s="10" t="str">
        <f>PROPER(TRIM(CLEAN([1]Raw_Data!J26)))</f>
        <v>School Fees</v>
      </c>
      <c r="K8" s="20" t="str">
        <f>IF(COUNTIF($J$2:J8,J8)&gt;1,"DUPLICATE","OK")</f>
        <v>OK</v>
      </c>
      <c r="X8" t="str">
        <f t="shared" si="0"/>
        <v>Unique</v>
      </c>
      <c r="AA8">
        <f t="shared" si="1"/>
        <v>1</v>
      </c>
      <c r="AB8">
        <f t="shared" si="2"/>
        <v>1</v>
      </c>
      <c r="AC8" s="105">
        <f t="shared" si="3"/>
        <v>1</v>
      </c>
    </row>
    <row r="9" spans="1:29" ht="28" x14ac:dyDescent="0.2">
      <c r="A9" s="10" t="str">
        <f>IF(LEFT(TRIM([1]Raw_Data!A21),5)="CUST-",UPPER(TRIM([1]Raw_Data!A21)),"CUST-"&amp;UPPER(TRIM([1]Raw_Data!A21)))</f>
        <v>CUST-1018</v>
      </c>
      <c r="B9" s="10" t="str">
        <f>[1]Raw_Data!B21</f>
        <v>ACC-008176</v>
      </c>
      <c r="C9" s="10" t="str">
        <f>PROPER(TRIM(CLEAN([1]Raw_Data!C21)))</f>
        <v>Harsh Vardhan</v>
      </c>
      <c r="D9" s="10" t="str">
        <f>[1]Raw_Data!D21</f>
        <v>2026-08-20</v>
      </c>
      <c r="E9" s="21" t="str">
        <f>PROPER(TRIM([1]Raw_Data!E21))</f>
        <v>Credit</v>
      </c>
      <c r="F9" s="10">
        <f>IFERROR(VALUE(SUBSTITUTE(SUBSTITUTE(TRIM([1]Raw_Data!F21),"$",""),",","")),"CHECK")</f>
        <v>30000</v>
      </c>
      <c r="G9" s="10" t="str">
        <f>[1]Raw_Data!G21</f>
        <v>INR</v>
      </c>
      <c r="H9" s="10" t="str">
        <f>IF(TRIM([1]Raw_Data!H21)="","UNKNOWN",TRIM([1]Raw_Data!H21))</f>
        <v>BRN-02</v>
      </c>
      <c r="I9" s="10" t="str">
        <f>[1]Raw_Data!I21</f>
        <v>TXN-0018</v>
      </c>
      <c r="J9" s="10" t="str">
        <f>PROPER(TRIM(CLEAN([1]Raw_Data!J21)))</f>
        <v>Quarterly Bonus</v>
      </c>
      <c r="K9" s="20" t="str">
        <f>IF(COUNTIF($J$2:J9,J9)&gt;1,"DUPLICATE","OK")</f>
        <v>OK</v>
      </c>
      <c r="X9" t="str">
        <f t="shared" si="0"/>
        <v>Unique</v>
      </c>
      <c r="AA9">
        <f t="shared" si="1"/>
        <v>1</v>
      </c>
      <c r="AB9">
        <f t="shared" si="2"/>
        <v>1</v>
      </c>
      <c r="AC9" s="105">
        <f t="shared" si="3"/>
        <v>1</v>
      </c>
    </row>
    <row r="10" spans="1:29" ht="28" x14ac:dyDescent="0.2">
      <c r="A10" s="10" t="str">
        <f>IF(LEFT(TRIM([1]Raw_Data!A12),5)="CUST-",UPPER(TRIM([1]Raw_Data!A12)),"CUST-"&amp;UPPER(TRIM([1]Raw_Data!A12)))</f>
        <v>CUST-1011</v>
      </c>
      <c r="B10" s="10" t="str">
        <f>[1]Raw_Data!B12</f>
        <v>ACC-885953</v>
      </c>
      <c r="C10" s="102" t="str">
        <f>PROPER(TRIM(CLEAN([1]Raw_Data!C12)))</f>
        <v>Kavya Reddy</v>
      </c>
      <c r="D10" s="10" t="str">
        <f>[1]Raw_Data!D12</f>
        <v>2026-08-11</v>
      </c>
      <c r="E10" s="10" t="str">
        <f>PROPER(TRIM([1]Raw_Data!E12))</f>
        <v>Debit</v>
      </c>
      <c r="F10" s="10">
        <f>IFERROR(VALUE(SUBSTITUTE(SUBSTITUTE(TRIM([1]Raw_Data!F12),"$",""),",","")),"CHECK")</f>
        <v>750</v>
      </c>
      <c r="G10" s="10" t="str">
        <f>[1]Raw_Data!G12</f>
        <v>INR</v>
      </c>
      <c r="H10" s="10" t="str">
        <f>IF(TRIM([1]Raw_Data!H12)="","UNKNOWN",TRIM([1]Raw_Data!H12))</f>
        <v>BRN-05</v>
      </c>
      <c r="I10" s="10" t="str">
        <f>[1]Raw_Data!I12</f>
        <v>TXN-0011</v>
      </c>
      <c r="J10" s="10" t="str">
        <f>PROPER(TRIM(CLEAN([1]Raw_Data!J12)))</f>
        <v>Supermarket Purchase</v>
      </c>
      <c r="K10" s="20" t="str">
        <f>IF(COUNTIF($J$2:J10,J10)&gt;1,"DUPLICATE","OK")</f>
        <v>OK</v>
      </c>
      <c r="X10" t="str">
        <f t="shared" si="0"/>
        <v>Unique</v>
      </c>
      <c r="AA10">
        <f t="shared" si="1"/>
        <v>1</v>
      </c>
      <c r="AB10">
        <f t="shared" si="2"/>
        <v>1</v>
      </c>
      <c r="AC10" s="105">
        <f t="shared" si="3"/>
        <v>1</v>
      </c>
    </row>
    <row r="11" spans="1:29" ht="28" x14ac:dyDescent="0.2">
      <c r="A11" s="10" t="str">
        <f>IF(LEFT(TRIM([1]Raw_Data!A27),5)="CUST-",UPPER(TRIM([1]Raw_Data!A27)),"CUST-"&amp;UPPER(TRIM([1]Raw_Data!A27)))</f>
        <v>CUST-CUST -1024</v>
      </c>
      <c r="B11" s="10" t="str">
        <f>[1]Raw_Data!B27</f>
        <v>ACC-442510</v>
      </c>
      <c r="C11" s="10" t="str">
        <f>PROPER(TRIM(CLEAN([1]Raw_Data!C27)))</f>
        <v>Kiran Bhat</v>
      </c>
      <c r="D11" s="10" t="str">
        <f>[1]Raw_Data!D27</f>
        <v>2026-08-25</v>
      </c>
      <c r="E11" s="21" t="str">
        <f>PROPER(TRIM([1]Raw_Data!E27))</f>
        <v>Credit</v>
      </c>
      <c r="F11" s="10">
        <f>IFERROR(VALUE(SUBSTITUTE(SUBSTITUTE(TRIM([1]Raw_Data!F27),"$",""),",","")),"CHECK")</f>
        <v>7200</v>
      </c>
      <c r="G11" s="10" t="str">
        <f>[1]Raw_Data!G27</f>
        <v>INR</v>
      </c>
      <c r="H11" s="10" t="str">
        <f>IF(TRIM([1]Raw_Data!H27)="","UNKNOWN",TRIM([1]Raw_Data!H27))</f>
        <v>BRN-02</v>
      </c>
      <c r="I11" s="10" t="str">
        <f>[1]Raw_Data!I27</f>
        <v>TXN-0024</v>
      </c>
      <c r="J11" s="10" t="str">
        <f>PROPER(TRIM(CLEAN([1]Raw_Data!J27)))</f>
        <v>Dividend Credit</v>
      </c>
      <c r="K11" s="20" t="str">
        <f>IF(COUNTIF($J$2:J11,J11)&gt;1,"DUPLICATE","OK")</f>
        <v>OK</v>
      </c>
      <c r="X11" t="str">
        <f t="shared" si="0"/>
        <v>Unique</v>
      </c>
      <c r="AA11">
        <f t="shared" si="1"/>
        <v>1</v>
      </c>
      <c r="AB11">
        <f t="shared" si="2"/>
        <v>1</v>
      </c>
      <c r="AC11" s="105">
        <f t="shared" si="3"/>
        <v>1</v>
      </c>
    </row>
    <row r="12" spans="1:29" ht="28" x14ac:dyDescent="0.2">
      <c r="A12" s="10" t="str">
        <f>IF(LEFT(TRIM([1]Raw_Data!A20),5)="CUST-",UPPER(TRIM([1]Raw_Data!A20)),"CUST-"&amp;UPPER(TRIM([1]Raw_Data!A20)))</f>
        <v>CUST-1017</v>
      </c>
      <c r="B12" s="10" t="str">
        <f>[1]Raw_Data!B20</f>
        <v>ACC-119287</v>
      </c>
      <c r="C12" s="10" t="str">
        <f>PROPER(TRIM(CLEAN([1]Raw_Data!C20)))</f>
        <v>Lakshmi Rao</v>
      </c>
      <c r="D12" s="10" t="str">
        <f>[1]Raw_Data!D20</f>
        <v>2026-08-19</v>
      </c>
      <c r="E12" s="10" t="str">
        <f>PROPER(TRIM([1]Raw_Data!E20))</f>
        <v>Debit</v>
      </c>
      <c r="F12" s="10">
        <f>IFERROR(VALUE(SUBSTITUTE(SUBSTITUTE(TRIM([1]Raw_Data!F20),"$",""),",","")),"CHECK")</f>
        <v>1050</v>
      </c>
      <c r="G12" s="10" t="str">
        <f>[1]Raw_Data!G20</f>
        <v>INR</v>
      </c>
      <c r="H12" s="10" t="str">
        <f>IF(TRIM([1]Raw_Data!H20)="","UNKNOWN",TRIM([1]Raw_Data!H20))</f>
        <v>BRN-05</v>
      </c>
      <c r="I12" s="10" t="str">
        <f>[1]Raw_Data!I20</f>
        <v>TXN-0017</v>
      </c>
      <c r="J12" s="10" t="str">
        <f>PROPER(TRIM(CLEAN([1]Raw_Data!J20)))</f>
        <v>Mobile Recharge</v>
      </c>
      <c r="K12" s="20" t="str">
        <f>IF(COUNTIF($J$2:J12,J12)&gt;1,"DUPLICATE","OK")</f>
        <v>OK</v>
      </c>
      <c r="X12" t="str">
        <f t="shared" si="0"/>
        <v>Unique</v>
      </c>
      <c r="AA12">
        <f t="shared" si="1"/>
        <v>1</v>
      </c>
      <c r="AB12">
        <f t="shared" si="2"/>
        <v>1</v>
      </c>
      <c r="AC12" s="105">
        <f t="shared" si="3"/>
        <v>1</v>
      </c>
    </row>
    <row r="13" spans="1:29" ht="42" x14ac:dyDescent="0.2">
      <c r="A13" s="10" t="str">
        <f>IF(LEFT(TRIM([1]Raw_Data!A10),5)="CUST-",UPPER(TRIM([1]Raw_Data!A10)),"CUST-"&amp;UPPER(TRIM([1]Raw_Data!A10)))</f>
        <v>CUST-1009</v>
      </c>
      <c r="B13" s="10" t="str">
        <f>[1]Raw_Data!B10</f>
        <v>ACC-007175</v>
      </c>
      <c r="C13" s="102" t="str">
        <f>PROPER(TRIM(CLEAN([1]Raw_Data!C10)))</f>
        <v>Meena Krishnan</v>
      </c>
      <c r="D13" s="10" t="str">
        <f>[1]Raw_Data!D10</f>
        <v>2026-08-09</v>
      </c>
      <c r="E13" s="10" t="str">
        <f>PROPER(TRIM([1]Raw_Data!E10))</f>
        <v>Debit</v>
      </c>
      <c r="F13" s="10">
        <f>IFERROR(VALUE(SUBSTITUTE(SUBSTITUTE(TRIM([1]Raw_Data!F10),"$",""),",","")),"CHECK")</f>
        <v>2300</v>
      </c>
      <c r="G13" s="10" t="str">
        <f>[1]Raw_Data!G10</f>
        <v>INR</v>
      </c>
      <c r="H13" s="10" t="str">
        <f>IF(TRIM([1]Raw_Data!H10)="","UNKNOWN",TRIM([1]Raw_Data!H10))</f>
        <v>BRN-03</v>
      </c>
      <c r="I13" s="10" t="str">
        <f>[1]Raw_Data!I10</f>
        <v>TXN-0009</v>
      </c>
      <c r="J13" s="10" t="str">
        <f>PROPER(TRIM(CLEAN([1]Raw_Data!J10)))</f>
        <v>Insurance Premium Paid</v>
      </c>
      <c r="K13" s="20" t="str">
        <f>IF(COUNTIF($J$2:J13,J13)&gt;1,"DUPLICATE","OK")</f>
        <v>OK</v>
      </c>
      <c r="X13" t="str">
        <f t="shared" si="0"/>
        <v>Unique</v>
      </c>
      <c r="AA13">
        <f t="shared" si="1"/>
        <v>1</v>
      </c>
      <c r="AB13">
        <f t="shared" si="2"/>
        <v>1</v>
      </c>
      <c r="AC13" s="105">
        <f t="shared" si="3"/>
        <v>1</v>
      </c>
    </row>
    <row r="14" spans="1:29" ht="28" x14ac:dyDescent="0.2">
      <c r="A14" s="10" t="str">
        <f>IF(LEFT(TRIM([1]Raw_Data!A25),5)="CUST-",UPPER(TRIM([1]Raw_Data!A25)),"CUST-"&amp;UPPER(TRIM([1]Raw_Data!A25)))</f>
        <v>CUST-1022</v>
      </c>
      <c r="B14" s="10" t="str">
        <f>[1]Raw_Data!B25</f>
        <v>ACC-664732</v>
      </c>
      <c r="C14" s="10" t="str">
        <f>PROPER(TRIM(CLEAN([1]Raw_Data!C25)))</f>
        <v>Mohan Lal</v>
      </c>
      <c r="D14" s="10" t="str">
        <f>[1]Raw_Data!D25</f>
        <v>2026-08-24</v>
      </c>
      <c r="E14" s="10" t="str">
        <f>PROPER(TRIM([1]Raw_Data!E25))</f>
        <v>Debit</v>
      </c>
      <c r="F14" s="10">
        <f>IFERROR(VALUE(SUBSTITUTE(SUBSTITUTE(TRIM([1]Raw_Data!F25),"$",""),",","")),"CHECK")</f>
        <v>900</v>
      </c>
      <c r="G14" s="10" t="str">
        <f>[1]Raw_Data!G25</f>
        <v>INR</v>
      </c>
      <c r="H14" s="10" t="str">
        <f>IF(TRIM([1]Raw_Data!H25)="","UNKNOWN",TRIM([1]Raw_Data!H25))</f>
        <v>BRN-04</v>
      </c>
      <c r="I14" s="10" t="str">
        <f>[1]Raw_Data!I25</f>
        <v>TXN-0022</v>
      </c>
      <c r="J14" s="10" t="str">
        <f>PROPER(TRIM(CLEAN([1]Raw_Data!J25)))</f>
        <v>Book Purchase</v>
      </c>
      <c r="K14" s="20" t="str">
        <f>IF(COUNTIF($J$2:J14,J14)&gt;1,"DUPLICATE","OK")</f>
        <v>OK</v>
      </c>
      <c r="X14" t="str">
        <f t="shared" si="0"/>
        <v>Unique</v>
      </c>
      <c r="AA14" s="108">
        <f t="shared" si="1"/>
        <v>1</v>
      </c>
      <c r="AB14">
        <f t="shared" si="2"/>
        <v>1</v>
      </c>
      <c r="AC14" s="105">
        <f t="shared" si="3"/>
        <v>1</v>
      </c>
    </row>
    <row r="15" spans="1:29" ht="28" x14ac:dyDescent="0.2">
      <c r="A15" s="10" t="str">
        <f>IF(LEFT(TRIM([1]Raw_Data!A16),5)="CUST-",UPPER(TRIM([1]Raw_Data!A16)),"CUST-"&amp;UPPER(TRIM([1]Raw_Data!A16)))</f>
        <v>CUST-1014</v>
      </c>
      <c r="B15" s="10" t="str">
        <f>[1]Raw_Data!B16</f>
        <v>ACC-442620</v>
      </c>
      <c r="C15" s="10" t="str">
        <f>PROPER(TRIM(CLEAN([1]Raw_Data!C16)))</f>
        <v>Nikhil Joshi</v>
      </c>
      <c r="D15" s="10" t="str">
        <f>[1]Raw_Data!D16</f>
        <v>2026-08-15</v>
      </c>
      <c r="E15" s="21" t="str">
        <f>PROPER(TRIM([1]Raw_Data!E16))</f>
        <v>Credit</v>
      </c>
      <c r="F15" s="10">
        <f>IFERROR(VALUE(SUBSTITUTE(SUBSTITUTE(TRIM([1]Raw_Data!F16),"$",""),",","")),"CHECK")</f>
        <v>18900</v>
      </c>
      <c r="G15" s="10" t="str">
        <f>[1]Raw_Data!G16</f>
        <v>INR</v>
      </c>
      <c r="H15" s="10" t="str">
        <f>IF(TRIM([1]Raw_Data!H16)="","UNKNOWN",TRIM([1]Raw_Data!H16))</f>
        <v>BRN-01</v>
      </c>
      <c r="I15" s="10" t="str">
        <f>[1]Raw_Data!I16</f>
        <v>TXN-0014</v>
      </c>
      <c r="J15" s="10" t="str">
        <f>PROPER(TRIM(CLEAN([1]Raw_Data!J16)))</f>
        <v>Consulting Fees</v>
      </c>
      <c r="K15" s="20" t="str">
        <f>IF(COUNTIF($J$2:J15,J15)&gt;1,"DUPLICATE","OK")</f>
        <v>OK</v>
      </c>
      <c r="X15" t="str">
        <f t="shared" si="0"/>
        <v>Unique</v>
      </c>
      <c r="AA15">
        <f t="shared" si="1"/>
        <v>1</v>
      </c>
      <c r="AB15">
        <f t="shared" si="2"/>
        <v>1</v>
      </c>
      <c r="AC15" s="105">
        <f t="shared" si="3"/>
        <v>1</v>
      </c>
    </row>
    <row r="16" spans="1:29" ht="28" x14ac:dyDescent="0.2">
      <c r="A16" s="10" t="str">
        <f>IF(LEFT(TRIM([1]Raw_Data!A28),5)="CUST-",UPPER(TRIM([1]Raw_Data!A28)),"CUST-"&amp;UPPER(TRIM([1]Raw_Data!A28)))</f>
        <v>CUST-1025</v>
      </c>
      <c r="B16" s="10" t="str">
        <f>[1]Raw_Data!B28</f>
        <v>ACC-331399</v>
      </c>
      <c r="C16" s="10" t="str">
        <f>PROPER(TRIM(CLEAN([1]Raw_Data!C28)))</f>
        <v>Nisha Thomas</v>
      </c>
      <c r="D16" s="10" t="str">
        <f>[1]Raw_Data!D28</f>
        <v>2026-08-25</v>
      </c>
      <c r="E16" s="10" t="str">
        <f>PROPER(TRIM([1]Raw_Data!E28))</f>
        <v>Debit</v>
      </c>
      <c r="F16" s="10">
        <f>IFERROR(VALUE(SUBSTITUTE(SUBSTITUTE(TRIM([1]Raw_Data!F28),"$",""),",","")),"CHECK")</f>
        <v>350</v>
      </c>
      <c r="G16" s="10" t="str">
        <f>[1]Raw_Data!G28</f>
        <v>INR</v>
      </c>
      <c r="H16" s="10" t="str">
        <f>IF(TRIM([1]Raw_Data!H28)="","UNKNOWN",TRIM([1]Raw_Data!H28))</f>
        <v>BRN-05</v>
      </c>
      <c r="I16" s="10" t="str">
        <f>[1]Raw_Data!I28</f>
        <v>TXN-0025</v>
      </c>
      <c r="J16" s="10" t="str">
        <f>PROPER(TRIM(CLEAN([1]Raw_Data!J28)))</f>
        <v>Streaming Subscription</v>
      </c>
      <c r="K16" s="20" t="str">
        <f>IF(COUNTIF($J$2:J16,J16)&gt;1,"DUPLICATE","OK")</f>
        <v>OK</v>
      </c>
      <c r="X16" t="str">
        <f t="shared" si="0"/>
        <v>Unique</v>
      </c>
      <c r="AA16">
        <f t="shared" si="1"/>
        <v>1</v>
      </c>
      <c r="AB16">
        <f t="shared" si="2"/>
        <v>1</v>
      </c>
      <c r="AC16" s="105">
        <f t="shared" si="3"/>
        <v>1</v>
      </c>
    </row>
    <row r="17" spans="1:29" ht="28" x14ac:dyDescent="0.2">
      <c r="A17" s="10" t="str">
        <f>IF(LEFT(TRIM([1]Raw_Data!A15),5)="CUST-",UPPER(TRIM([1]Raw_Data!A15)),"CUST-"&amp;UPPER(TRIM([1]Raw_Data!A15)))</f>
        <v>CUST-1013</v>
      </c>
      <c r="B17" s="10" t="str">
        <f>[1]Raw_Data!B15</f>
        <v>ACC-553731</v>
      </c>
      <c r="C17" s="10" t="str">
        <f>PROPER(TRIM(CLEAN([1]Raw_Data!C15)))</f>
        <v>Pooja Desai</v>
      </c>
      <c r="D17" s="10" t="str">
        <f>[1]Raw_Data!D15</f>
        <v>2026-08-14</v>
      </c>
      <c r="E17" s="10" t="str">
        <f>PROPER(TRIM([1]Raw_Data!E15))</f>
        <v>Debit</v>
      </c>
      <c r="F17" s="10">
        <f>IFERROR(VALUE(SUBSTITUTE(SUBSTITUTE(TRIM([1]Raw_Data!F15),"$",""),",","")),"CHECK")</f>
        <v>4200</v>
      </c>
      <c r="G17" s="10" t="str">
        <f>[1]Raw_Data!G15</f>
        <v>INR</v>
      </c>
      <c r="H17" s="10" t="str">
        <f>IF(TRIM([1]Raw_Data!H15)="","UNKNOWN",TRIM([1]Raw_Data!H15))</f>
        <v>BRN-04</v>
      </c>
      <c r="I17" s="10" t="str">
        <f>[1]Raw_Data!I15</f>
        <v>TXN-0013</v>
      </c>
      <c r="J17" s="10" t="str">
        <f>PROPER(TRIM(CLEAN([1]Raw_Data!J15)))</f>
        <v>Emi Payment</v>
      </c>
      <c r="K17" s="20" t="str">
        <f>IF(COUNTIF($J$2:J17,J17)&gt;1,"DUPLICATE","OK")</f>
        <v>OK</v>
      </c>
      <c r="X17" t="str">
        <f t="shared" si="0"/>
        <v>Unique</v>
      </c>
      <c r="AA17">
        <f t="shared" si="1"/>
        <v>1</v>
      </c>
      <c r="AB17">
        <f t="shared" si="2"/>
        <v>1</v>
      </c>
      <c r="AC17" s="105">
        <f t="shared" si="3"/>
        <v>1</v>
      </c>
    </row>
    <row r="18" spans="1:29" ht="28" x14ac:dyDescent="0.2">
      <c r="A18" s="10" t="str">
        <f>IF(LEFT(TRIM([1]Raw_Data!A17),5)="CUST-",UPPER(TRIM([1]Raw_Data!A17)),"CUST-"&amp;UPPER(TRIM([1]Raw_Data!A17)))</f>
        <v>CUST-1015</v>
      </c>
      <c r="B18" s="10" t="str">
        <f>[1]Raw_Data!B17</f>
        <v>ACC-331509</v>
      </c>
      <c r="C18" s="10" t="str">
        <f>PROPER(TRIM(CLEAN([1]Raw_Data!C17)))</f>
        <v>Preethi Menon</v>
      </c>
      <c r="D18" s="10" t="str">
        <f>[1]Raw_Data!D17</f>
        <v>2026-08-16</v>
      </c>
      <c r="E18" s="10" t="str">
        <f>PROPER(TRIM([1]Raw_Data!E17))</f>
        <v>Debit</v>
      </c>
      <c r="F18" s="10">
        <f>IFERROR(VALUE(SUBSTITUTE(SUBSTITUTE(TRIM([1]Raw_Data!F17),"$",""),",","")),"CHECK")</f>
        <v>250</v>
      </c>
      <c r="G18" s="10" t="str">
        <f>[1]Raw_Data!G17</f>
        <v>INR</v>
      </c>
      <c r="H18" s="21" t="str">
        <f>IF(TRIM([1]Raw_Data!H17)="","UNKNOWN",TRIM([1]Raw_Data!H17))</f>
        <v>UNKNOWN</v>
      </c>
      <c r="I18" s="10" t="str">
        <f>[1]Raw_Data!I17</f>
        <v>TXN-0015</v>
      </c>
      <c r="J18" s="10" t="str">
        <f>PROPER(TRIM(CLEAN([1]Raw_Data!J17)))</f>
        <v>Food Delivery</v>
      </c>
      <c r="K18" s="20" t="str">
        <f>IF(COUNTIF($J$2:J18,J18)&gt;1,"DUPLICATE","OK")</f>
        <v>OK</v>
      </c>
      <c r="X18" t="str">
        <f t="shared" si="0"/>
        <v>Unique</v>
      </c>
      <c r="AA18">
        <f t="shared" si="1"/>
        <v>1</v>
      </c>
      <c r="AB18">
        <f t="shared" si="2"/>
        <v>1</v>
      </c>
      <c r="AC18" s="105">
        <f t="shared" si="3"/>
        <v>1</v>
      </c>
    </row>
    <row r="19" spans="1:29" ht="42" x14ac:dyDescent="0.2">
      <c r="A19" s="10" t="str">
        <f>IF(LEFT(TRIM([1]Raw_Data!A2),5)="CUST-",UPPER(TRIM([1]Raw_Data!A2)),"CUST-"&amp;UPPER(TRIM([1]Raw_Data!A2)))</f>
        <v>CUST-1001</v>
      </c>
      <c r="B19" s="10" t="str">
        <f>[1]Raw_Data!B2</f>
        <v>ACC-884521</v>
      </c>
      <c r="C19" s="10" t="str">
        <f>PROPER(TRIM(CLEAN([1]Raw_Data!C2)))</f>
        <v>Priya Sharma</v>
      </c>
      <c r="D19" s="10" t="str">
        <f>[1]Raw_Data!D2</f>
        <v>2026-08-01</v>
      </c>
      <c r="E19" s="21" t="str">
        <f>PROPER(TRIM([1]Raw_Data!E2))</f>
        <v>Credit</v>
      </c>
      <c r="F19" s="10">
        <f>IFERROR(VALUE(SUBSTITUTE(SUBSTITUTE(TRIM([1]Raw_Data!F2),"$",""),",","")),"CHECK")</f>
        <v>15000</v>
      </c>
      <c r="G19" s="10" t="str">
        <f>[1]Raw_Data!G2</f>
        <v>INR</v>
      </c>
      <c r="H19" s="10" t="str">
        <f>IF(TRIM([1]Raw_Data!H2)="","UNKNOWN",TRIM([1]Raw_Data!H2))</f>
        <v>BRN-01</v>
      </c>
      <c r="I19" s="10" t="str">
        <f>[1]Raw_Data!I2</f>
        <v>TXN-0001</v>
      </c>
      <c r="J19" s="10" t="str">
        <f>PROPER(TRIM(CLEAN([1]Raw_Data!J2)))</f>
        <v>Salary Credit For August</v>
      </c>
      <c r="K19" s="20" t="str">
        <f>IF(COUNTIF($J$2:J19,J19)&gt;1,"DUPLICATE","OK")</f>
        <v>OK</v>
      </c>
      <c r="X19" t="str">
        <f t="shared" si="0"/>
        <v>Unique</v>
      </c>
      <c r="AA19" s="108">
        <f t="shared" si="1"/>
        <v>1</v>
      </c>
      <c r="AB19">
        <f t="shared" si="2"/>
        <v>1</v>
      </c>
      <c r="AC19" s="105">
        <f t="shared" si="3"/>
        <v>1</v>
      </c>
    </row>
    <row r="20" spans="1:29" ht="28" x14ac:dyDescent="0.2">
      <c r="A20" s="10" t="str">
        <f>IF(LEFT(TRIM([1]Raw_Data!A24),5)="CUST-",UPPER(TRIM([1]Raw_Data!A24)),"CUST-"&amp;UPPER(TRIM([1]Raw_Data!A24)))</f>
        <v>CUST-1021</v>
      </c>
      <c r="B20" s="10" t="str">
        <f>[1]Raw_Data!B24</f>
        <v>ACC-775843</v>
      </c>
      <c r="C20" s="10" t="str">
        <f>PROPER(TRIM(CLEAN([1]Raw_Data!C24)))</f>
        <v>Radha Krishna</v>
      </c>
      <c r="D20" s="10" t="str">
        <f>[1]Raw_Data!D24</f>
        <v>2026-08-23</v>
      </c>
      <c r="E20" s="21" t="str">
        <f>PROPER(TRIM([1]Raw_Data!E24))</f>
        <v>Credit</v>
      </c>
      <c r="F20" s="10">
        <f>IFERROR(VALUE(SUBSTITUTE(SUBSTITUTE(TRIM([1]Raw_Data!F24),"$",""),",","")),"CHECK")</f>
        <v>12750</v>
      </c>
      <c r="G20" s="10" t="str">
        <f>[1]Raw_Data!G24</f>
        <v>INR</v>
      </c>
      <c r="H20" s="10" t="str">
        <f>IF(TRIM([1]Raw_Data!H24)="","UNKNOWN",TRIM([1]Raw_Data!H24))</f>
        <v>BRN-03</v>
      </c>
      <c r="I20" s="10" t="str">
        <f>[1]Raw_Data!I24</f>
        <v>TXN-0021</v>
      </c>
      <c r="J20" s="10" t="str">
        <f>PROPER(TRIM(CLEAN([1]Raw_Data!J24)))</f>
        <v>Rental Income</v>
      </c>
      <c r="K20" s="20" t="str">
        <f>IF(COUNTIF($J$2:J20,J20)&gt;1,"DUPLICATE","OK")</f>
        <v>OK</v>
      </c>
      <c r="X20" t="str">
        <f t="shared" si="0"/>
        <v>Unique</v>
      </c>
      <c r="AA20">
        <f t="shared" si="1"/>
        <v>1</v>
      </c>
      <c r="AB20">
        <f t="shared" si="2"/>
        <v>1</v>
      </c>
      <c r="AC20" s="105">
        <f t="shared" si="3"/>
        <v>1</v>
      </c>
    </row>
    <row r="21" spans="1:29" ht="42" x14ac:dyDescent="0.2">
      <c r="A21" s="10" t="str">
        <f>IF(LEFT(TRIM([1]Raw_Data!A3),5)="CUST-",UPPER(TRIM([1]Raw_Data!A3)),"CUST-"&amp;UPPER(TRIM([1]Raw_Data!A3)))</f>
        <v>CUST-1002</v>
      </c>
      <c r="B21" s="10" t="str">
        <f>[1]Raw_Data!B3</f>
        <v>ACC-774832</v>
      </c>
      <c r="C21" s="10" t="str">
        <f>PROPER(TRIM(CLEAN([1]Raw_Data!C3)))</f>
        <v>Rahul Mehta</v>
      </c>
      <c r="D21" s="10" t="str">
        <f>[1]Raw_Data!D3</f>
        <v>2026-08-02</v>
      </c>
      <c r="E21" s="10" t="str">
        <f>PROPER(TRIM([1]Raw_Data!E3))</f>
        <v>Debit</v>
      </c>
      <c r="F21" s="10">
        <f>IFERROR(VALUE(SUBSTITUTE(SUBSTITUTE(TRIM([1]Raw_Data!F3),"$",""),",","")),"CHECK")</f>
        <v>8500</v>
      </c>
      <c r="G21" s="10" t="str">
        <f>[1]Raw_Data!G3</f>
        <v>INR</v>
      </c>
      <c r="H21" s="10" t="str">
        <f>IF(TRIM([1]Raw_Data!H3)="","UNKNOWN",TRIM([1]Raw_Data!H3))</f>
        <v>BRN-02</v>
      </c>
      <c r="I21" s="21" t="str">
        <f>[1]Raw_Data!I3</f>
        <v>TXN-0002</v>
      </c>
      <c r="J21" s="21" t="str">
        <f>PROPER(TRIM(CLEAN([1]Raw_Data!J3)))</f>
        <v>Online Transfer To Vendor</v>
      </c>
      <c r="K21" s="20" t="str">
        <f>IF(COUNTIF($J$2:J21,J21)&gt;1,"DUPLICATE","OK")</f>
        <v>OK</v>
      </c>
      <c r="X21" t="str">
        <f t="shared" si="0"/>
        <v>Duplicate</v>
      </c>
      <c r="AA21">
        <f t="shared" si="1"/>
        <v>2</v>
      </c>
      <c r="AB21">
        <f t="shared" si="2"/>
        <v>2</v>
      </c>
      <c r="AC21" s="105">
        <f t="shared" si="3"/>
        <v>2</v>
      </c>
    </row>
    <row r="22" spans="1:29" ht="42" x14ac:dyDescent="0.2">
      <c r="A22" s="10" t="str">
        <f>IF(LEFT(TRIM([1]Raw_Data!A19),5)="CUST-",UPPER(TRIM([1]Raw_Data!A19)),"CUST-"&amp;UPPER(TRIM([1]Raw_Data!A19)))</f>
        <v>CUST-1002</v>
      </c>
      <c r="B22" s="10" t="str">
        <f>[1]Raw_Data!B19</f>
        <v>ACC-774832</v>
      </c>
      <c r="C22" s="10" t="str">
        <f>PROPER(TRIM(CLEAN([1]Raw_Data!C19)))</f>
        <v>Rahul Mehta</v>
      </c>
      <c r="D22" s="10" t="str">
        <f>[1]Raw_Data!D19</f>
        <v>2026-08-02</v>
      </c>
      <c r="E22" s="10" t="str">
        <f>PROPER(TRIM([1]Raw_Data!E19))</f>
        <v>Debit</v>
      </c>
      <c r="F22" s="10">
        <f>IFERROR(VALUE(SUBSTITUTE(SUBSTITUTE(TRIM([1]Raw_Data!F19),"$",""),",","")),"CHECK")</f>
        <v>8500</v>
      </c>
      <c r="G22" s="10" t="str">
        <f>[1]Raw_Data!G19</f>
        <v>INR</v>
      </c>
      <c r="H22" s="10" t="str">
        <f>IF(TRIM([1]Raw_Data!H19)="","UNKNOWN",TRIM([1]Raw_Data!H19))</f>
        <v>BRN-02</v>
      </c>
      <c r="I22" s="21" t="str">
        <f>[1]Raw_Data!I19</f>
        <v>TXN-0002</v>
      </c>
      <c r="J22" s="21" t="str">
        <f>PROPER(TRIM(CLEAN([1]Raw_Data!J19)))</f>
        <v>Online Transfer To Vendor</v>
      </c>
      <c r="K22" s="20" t="str">
        <f>IF(COUNTIF($J$2:J22,J22)&gt;1,"DUPLICATE","OK")</f>
        <v>DUPLICATE</v>
      </c>
      <c r="X22" t="str">
        <f t="shared" si="0"/>
        <v>Unique</v>
      </c>
      <c r="AA22">
        <f t="shared" si="1"/>
        <v>2</v>
      </c>
      <c r="AB22">
        <f t="shared" si="2"/>
        <v>2</v>
      </c>
      <c r="AC22" s="105">
        <f t="shared" si="3"/>
        <v>2</v>
      </c>
    </row>
    <row r="23" spans="1:29" ht="28" x14ac:dyDescent="0.2">
      <c r="A23" s="10" t="str">
        <f>IF(LEFT(TRIM([1]Raw_Data!A31),5)="CUST-",UPPER(TRIM([1]Raw_Data!A31)),"CUST-"&amp;UPPER(TRIM([1]Raw_Data!A31)))</f>
        <v>CUST-1028</v>
      </c>
      <c r="B23" s="10" t="str">
        <f>[1]Raw_Data!B31</f>
        <v>ACC-008066</v>
      </c>
      <c r="C23" s="10" t="str">
        <f>PROPER(TRIM(CLEAN([1]Raw_Data!C31)))</f>
        <v>Rajan Pillai</v>
      </c>
      <c r="D23" s="10" t="str">
        <f>[1]Raw_Data!D31</f>
        <v>25/08/2026</v>
      </c>
      <c r="E23" s="21" t="str">
        <f>PROPER(TRIM([1]Raw_Data!E31))</f>
        <v>Credit</v>
      </c>
      <c r="F23" s="10">
        <f>IFERROR(VALUE(SUBSTITUTE(SUBSTITUTE(TRIM([1]Raw_Data!F31),"$",""),",","")),"CHECK")</f>
        <v>14000</v>
      </c>
      <c r="G23" s="10" t="str">
        <f>[1]Raw_Data!G31</f>
        <v>INR</v>
      </c>
      <c r="H23" s="10" t="str">
        <f>IF(TRIM([1]Raw_Data!H31)="","UNKNOWN",TRIM([1]Raw_Data!H31))</f>
        <v>BRN-04</v>
      </c>
      <c r="I23" s="10" t="str">
        <f>[1]Raw_Data!I31</f>
        <v>TXN-0028</v>
      </c>
      <c r="J23" s="10" t="str">
        <f>PROPER(TRIM(CLEAN([1]Raw_Data!J31)))</f>
        <v>Salary Advance</v>
      </c>
      <c r="K23" s="20" t="str">
        <f>IF(COUNTIF($J$2:J23,J23)&gt;1,"DUPLICATE","OK")</f>
        <v>OK</v>
      </c>
      <c r="X23" t="str">
        <f t="shared" si="0"/>
        <v>Unique</v>
      </c>
      <c r="AA23">
        <f t="shared" si="1"/>
        <v>1</v>
      </c>
      <c r="AB23">
        <f t="shared" si="2"/>
        <v>1</v>
      </c>
      <c r="AC23" s="105">
        <f t="shared" si="3"/>
        <v>1</v>
      </c>
    </row>
    <row r="24" spans="1:29" ht="42" x14ac:dyDescent="0.2">
      <c r="A24" s="10" t="str">
        <f>IF(LEFT(TRIM([1]Raw_Data!A8),5)="CUST-",UPPER(TRIM([1]Raw_Data!A8)),"CUST-"&amp;UPPER(TRIM([1]Raw_Data!A8)))</f>
        <v>CUST-1007</v>
      </c>
      <c r="B24" s="10" t="str">
        <f>[1]Raw_Data!B8</f>
        <v>ACC-229397</v>
      </c>
      <c r="C24" s="102" t="str">
        <f>PROPER(TRIM(CLEAN([1]Raw_Data!C8)))</f>
        <v>Ritu Gupta</v>
      </c>
      <c r="D24" s="10" t="str">
        <f>[1]Raw_Data!D8</f>
        <v>2026-08-07</v>
      </c>
      <c r="E24" s="10" t="str">
        <f>PROPER(TRIM([1]Raw_Data!E8))</f>
        <v>Debit</v>
      </c>
      <c r="F24" s="10">
        <f>IFERROR(VALUE(SUBSTITUTE(SUBSTITUTE(TRIM([1]Raw_Data!F8),"$",""),",","")),"CHECK")</f>
        <v>500</v>
      </c>
      <c r="G24" s="10" t="str">
        <f>[1]Raw_Data!G8</f>
        <v>INR</v>
      </c>
      <c r="H24" s="10" t="str">
        <f>IF(TRIM([1]Raw_Data!H8)="","UNKNOWN",TRIM([1]Raw_Data!H8))</f>
        <v>BRN-04</v>
      </c>
      <c r="I24" s="10" t="str">
        <f>[1]Raw_Data!I8</f>
        <v>TXN-0007</v>
      </c>
      <c r="J24" s="10" t="str">
        <f>PROPER(TRIM(CLEAN([1]Raw_Data!J8)))</f>
        <v>Coffee Shop Payment</v>
      </c>
      <c r="K24" s="20" t="str">
        <f>IF(COUNTIF($J$2:J24,J24)&gt;1,"DUPLICATE","OK")</f>
        <v>OK</v>
      </c>
      <c r="X24" t="str">
        <f t="shared" si="0"/>
        <v>Unique</v>
      </c>
      <c r="AA24">
        <f t="shared" si="1"/>
        <v>1</v>
      </c>
      <c r="AB24">
        <f t="shared" si="2"/>
        <v>1</v>
      </c>
      <c r="AC24" s="105">
        <f t="shared" si="3"/>
        <v>1</v>
      </c>
    </row>
    <row r="25" spans="1:29" ht="28" x14ac:dyDescent="0.2">
      <c r="A25" s="10" t="str">
        <f>IF(LEFT(TRIM([1]Raw_Data!A18),5)="CUST-",UPPER(TRIM([1]Raw_Data!A18)),"CUST-"&amp;UPPER(TRIM([1]Raw_Data!A18)))</f>
        <v>CUST-1016</v>
      </c>
      <c r="B25" s="10" t="str">
        <f>[1]Raw_Data!B18</f>
        <v>ACC-220398</v>
      </c>
      <c r="C25" s="10" t="str">
        <f>PROPER(TRIM(CLEAN([1]Raw_Data!C18)))</f>
        <v>Rohit Kumar</v>
      </c>
      <c r="D25" s="10" t="str">
        <f>[1]Raw_Data!D18</f>
        <v>2026-08-17</v>
      </c>
      <c r="E25" s="21" t="str">
        <f>PROPER(TRIM([1]Raw_Data!E18))</f>
        <v>Credit</v>
      </c>
      <c r="F25" s="10">
        <f>IFERROR(VALUE(SUBSTITUTE(SUBSTITUTE(TRIM([1]Raw_Data!F18),"$",""),",","")),"CHECK")</f>
        <v>8000</v>
      </c>
      <c r="G25" s="10" t="str">
        <f>[1]Raw_Data!G18</f>
        <v>INR</v>
      </c>
      <c r="H25" s="10" t="str">
        <f>IF(TRIM([1]Raw_Data!H18)="","UNKNOWN",TRIM([1]Raw_Data!H18))</f>
        <v>BRN-03</v>
      </c>
      <c r="I25" s="10" t="str">
        <f>[1]Raw_Data!I18</f>
        <v>TXN-0016</v>
      </c>
      <c r="J25" s="10" t="str">
        <f>PROPER(TRIM(CLEAN([1]Raw_Data!J18)))</f>
        <v>Part-Time Income</v>
      </c>
      <c r="K25" s="20" t="str">
        <f>IF(COUNTIF($J$2:J25,J25)&gt;1,"DUPLICATE","OK")</f>
        <v>OK</v>
      </c>
      <c r="X25" t="str">
        <f t="shared" si="0"/>
        <v>Unique</v>
      </c>
      <c r="AA25">
        <f t="shared" si="1"/>
        <v>1</v>
      </c>
      <c r="AB25">
        <f t="shared" si="2"/>
        <v>1</v>
      </c>
      <c r="AC25" s="105">
        <f t="shared" si="3"/>
        <v>1</v>
      </c>
    </row>
    <row r="26" spans="1:29" ht="28" x14ac:dyDescent="0.2">
      <c r="A26" s="10" t="str">
        <f>IF(LEFT(TRIM([1]Raw_Data!A23),5)="CUST-",UPPER(TRIM([1]Raw_Data!A23)),"CUST-"&amp;UPPER(TRIM([1]Raw_Data!A23)))</f>
        <v>CUST-1020</v>
      </c>
      <c r="B26" s="10" t="str">
        <f>[1]Raw_Data!B23</f>
        <v>ACC-886954</v>
      </c>
      <c r="C26" s="10" t="str">
        <f>PROPER(TRIM(CLEAN([1]Raw_Data!C23)))</f>
        <v>Sanjay Kapoor</v>
      </c>
      <c r="D26" s="10" t="str">
        <f>[1]Raw_Data!D23</f>
        <v>2026-08-22</v>
      </c>
      <c r="E26" s="21" t="str">
        <f>PROPER(TRIM([1]Raw_Data!E23))</f>
        <v>Credit</v>
      </c>
      <c r="F26" s="10">
        <f>IFERROR(VALUE(SUBSTITUTE(SUBSTITUTE(TRIM([1]Raw_Data!F23),"$",""),",","")),"CHECK")</f>
        <v>5500</v>
      </c>
      <c r="G26" s="10" t="str">
        <f>[1]Raw_Data!G23</f>
        <v>INR</v>
      </c>
      <c r="H26" s="10" t="str">
        <f>IF(TRIM([1]Raw_Data!H23)="","UNKNOWN",TRIM([1]Raw_Data!H23))</f>
        <v>BRN-01</v>
      </c>
      <c r="I26" s="10" t="str">
        <f>[1]Raw_Data!I23</f>
        <v>TXN-0020</v>
      </c>
      <c r="J26" s="10" t="str">
        <f>PROPER(TRIM(CLEAN([1]Raw_Data!J23)))</f>
        <v>Freelance Invoice</v>
      </c>
      <c r="K26" s="20" t="str">
        <f>IF(COUNTIF($J$2:J26,J26)&gt;1,"DUPLICATE","OK")</f>
        <v>OK</v>
      </c>
      <c r="X26" t="str">
        <f t="shared" si="0"/>
        <v>Unique</v>
      </c>
      <c r="AA26">
        <f t="shared" si="1"/>
        <v>1</v>
      </c>
      <c r="AB26">
        <f t="shared" si="2"/>
        <v>1</v>
      </c>
      <c r="AC26" s="105">
        <f t="shared" si="3"/>
        <v>1</v>
      </c>
    </row>
    <row r="27" spans="1:29" ht="42" x14ac:dyDescent="0.2">
      <c r="A27" s="10" t="str">
        <f>IF(LEFT(TRIM([1]Raw_Data!A6),5)="CUST-",UPPER(TRIM([1]Raw_Data!A6)),"CUST-"&amp;UPPER(TRIM([1]Raw_Data!A6)))</f>
        <v>CUST-1005</v>
      </c>
      <c r="B27" s="10" t="str">
        <f>[1]Raw_Data!B6</f>
        <v>ACC-441519</v>
      </c>
      <c r="C27" s="10" t="str">
        <f>PROPER(TRIM(CLEAN([1]Raw_Data!C6)))</f>
        <v>Sneha Nair</v>
      </c>
      <c r="D27" s="10" t="str">
        <f>[1]Raw_Data!D6</f>
        <v>2026-08-05</v>
      </c>
      <c r="E27" s="21" t="str">
        <f>PROPER(TRIM([1]Raw_Data!E6))</f>
        <v>Credit</v>
      </c>
      <c r="F27" s="10">
        <f>IFERROR(VALUE(SUBSTITUTE(SUBSTITUTE(TRIM([1]Raw_Data!F6),"$",""),",","")),"CHECK")</f>
        <v>9800</v>
      </c>
      <c r="G27" s="10" t="str">
        <f>[1]Raw_Data!G6</f>
        <v>INR</v>
      </c>
      <c r="H27" s="10" t="str">
        <f>IF(TRIM([1]Raw_Data!H6)="","UNKNOWN",TRIM([1]Raw_Data!H6))</f>
        <v>BRN-03</v>
      </c>
      <c r="I27" s="106" t="str">
        <f>[1]Raw_Data!I6</f>
        <v>TXN-0003</v>
      </c>
      <c r="J27" s="10" t="str">
        <f>PROPER(TRIM(CLEAN([1]Raw_Data!J6)))</f>
        <v>Freelance Payment Received</v>
      </c>
      <c r="K27" s="20" t="str">
        <f>IF(COUNTIF($J$2:J27,J27)&gt;1,"DUPLICATE","OK")</f>
        <v>OK</v>
      </c>
      <c r="X27" t="str">
        <f t="shared" si="0"/>
        <v>Unique</v>
      </c>
      <c r="AA27">
        <f t="shared" si="1"/>
        <v>3</v>
      </c>
      <c r="AB27">
        <f t="shared" si="2"/>
        <v>1</v>
      </c>
      <c r="AC27" s="105">
        <f t="shared" si="3"/>
        <v>1</v>
      </c>
    </row>
    <row r="28" spans="1:29" ht="28" x14ac:dyDescent="0.2">
      <c r="A28" s="10" t="str">
        <f>IF(LEFT(TRIM([1]Raw_Data!A30),5)="CUST-",UPPER(TRIM([1]Raw_Data!A30)),"CUST-"&amp;UPPER(TRIM([1]Raw_Data!A30)))</f>
        <v>CUST-1027</v>
      </c>
      <c r="B28" s="10" t="str">
        <f>[1]Raw_Data!B30</f>
        <v>ACC-119177</v>
      </c>
      <c r="C28" s="10" t="str">
        <f>PROPER(TRIM(CLEAN([1]Raw_Data!C30)))</f>
        <v>Sunita Rao</v>
      </c>
      <c r="D28" s="10" t="str">
        <f>[1]Raw_Data!D30</f>
        <v>2026-08-25</v>
      </c>
      <c r="E28" s="10" t="str">
        <f>PROPER(TRIM([1]Raw_Data!E30))</f>
        <v>Debit</v>
      </c>
      <c r="F28" s="10">
        <f>IFERROR(VALUE(SUBSTITUTE(SUBSTITUTE(TRIM([1]Raw_Data!F30),"$",""),",","")),"CHECK")</f>
        <v>1800</v>
      </c>
      <c r="G28" s="10" t="str">
        <f>[1]Raw_Data!G30</f>
        <v>INR</v>
      </c>
      <c r="H28" s="10" t="str">
        <f>IF(TRIM([1]Raw_Data!H30)="","UNKNOWN",TRIM([1]Raw_Data!H30))</f>
        <v>BRN-03</v>
      </c>
      <c r="I28" s="10" t="str">
        <f>[1]Raw_Data!I30</f>
        <v>TXN-0027</v>
      </c>
      <c r="J28" s="10" t="str">
        <f>PROPER(TRIM(CLEAN([1]Raw_Data!J30)))</f>
        <v>Monthly Subscription</v>
      </c>
      <c r="K28" s="20" t="str">
        <f>IF(COUNTIF($J$2:J28,J28)&gt;1,"DUPLICATE","OK")</f>
        <v>OK</v>
      </c>
      <c r="X28" t="str">
        <f t="shared" si="0"/>
        <v>Unique</v>
      </c>
      <c r="AA28">
        <f t="shared" si="1"/>
        <v>1</v>
      </c>
      <c r="AB28">
        <f t="shared" si="2"/>
        <v>1</v>
      </c>
      <c r="AC28" s="105">
        <f t="shared" si="3"/>
        <v>1</v>
      </c>
    </row>
    <row r="29" spans="1:29" ht="28" x14ac:dyDescent="0.2">
      <c r="A29" s="10" t="str">
        <f>IF(LEFT(TRIM([1]Raw_Data!A13),5)="CUST-",UPPER(TRIM([1]Raw_Data!A13)),"CUST-"&amp;UPPER(TRIM([1]Raw_Data!A13)))</f>
        <v>CUST-1012</v>
      </c>
      <c r="B29" s="10" t="str">
        <f>[1]Raw_Data!B13</f>
        <v>ACC-774842</v>
      </c>
      <c r="C29" s="10" t="str">
        <f>PROPER(TRIM(CLEAN([1]Raw_Data!C13)))</f>
        <v>Suresh Pillai</v>
      </c>
      <c r="D29" s="10" t="str">
        <f>[1]Raw_Data!D13</f>
        <v>2026-08-12</v>
      </c>
      <c r="E29" s="21" t="str">
        <f>PROPER(TRIM([1]Raw_Data!E13))</f>
        <v>Credit</v>
      </c>
      <c r="F29" s="109" t="str">
        <f>IFERROR(VALUE(SUBSTITUTE(SUBSTITUTE(TRIM([1]Raw_Data!F13),"$",""),",","")),"CHECK")</f>
        <v>CHECK</v>
      </c>
      <c r="G29" s="10" t="str">
        <f>[1]Raw_Data!G13</f>
        <v>INR</v>
      </c>
      <c r="H29" s="10" t="str">
        <f>IF(TRIM([1]Raw_Data!H13)="","UNKNOWN",TRIM([1]Raw_Data!H13))</f>
        <v>BRN-02</v>
      </c>
      <c r="I29" s="10" t="str">
        <f>[1]Raw_Data!I13</f>
        <v>TXN-0012</v>
      </c>
      <c r="J29" s="10" t="str">
        <f>PROPER(TRIM(CLEAN([1]Raw_Data!J13)))</f>
        <v>Pending Credit</v>
      </c>
      <c r="K29" s="20" t="str">
        <f>IF(COUNTIF($J$2:J29,J29)&gt;1,"DUPLICATE","OK")</f>
        <v>OK</v>
      </c>
      <c r="X29" t="str">
        <f t="shared" si="0"/>
        <v>Unique</v>
      </c>
      <c r="AA29">
        <f t="shared" si="1"/>
        <v>1</v>
      </c>
      <c r="AB29">
        <f t="shared" si="2"/>
        <v>1</v>
      </c>
      <c r="AC29" s="105">
        <f t="shared" si="3"/>
        <v>1</v>
      </c>
    </row>
    <row r="30" spans="1:29" ht="28" x14ac:dyDescent="0.2">
      <c r="A30" s="10" t="str">
        <f>IF(LEFT(TRIM([1]Raw_Data!A5),5)="CUST-",UPPER(TRIM([1]Raw_Data!A5)),"CUST-"&amp;UPPER(TRIM([1]Raw_Data!A5)))</f>
        <v>CUST-1004</v>
      </c>
      <c r="B30" s="10" t="str">
        <f>[1]Raw_Data!B5</f>
        <v>ACC-552630</v>
      </c>
      <c r="C30" s="10" t="str">
        <f>PROPER(TRIM(CLEAN([1]Raw_Data!C5)))</f>
        <v>Vikram Singh</v>
      </c>
      <c r="D30" s="10" t="str">
        <f>[1]Raw_Data!D5</f>
        <v>2026-08-04</v>
      </c>
      <c r="E30" s="10" t="str">
        <f>PROPER(TRIM([1]Raw_Data!E5))</f>
        <v>Debit</v>
      </c>
      <c r="F30" s="10">
        <f>IFERROR(VALUE(SUBSTITUTE(SUBSTITUTE(TRIM([1]Raw_Data!F5),"$",""),",","")),"CHECK")</f>
        <v>3750</v>
      </c>
      <c r="G30" s="10" t="str">
        <f>[1]Raw_Data!G5</f>
        <v>INR</v>
      </c>
      <c r="H30" s="10" t="str">
        <f>IF(TRIM([1]Raw_Data!H5)="","UNKNOWN",TRIM([1]Raw_Data!H5))</f>
        <v>BRN-01</v>
      </c>
      <c r="I30" s="10" t="str">
        <f>[1]Raw_Data!I5</f>
        <v>TXN-0004</v>
      </c>
      <c r="J30" s="10" t="str">
        <f>PROPER(TRIM(CLEAN([1]Raw_Data!J5)))</f>
        <v>Atm Withdrawal</v>
      </c>
      <c r="K30" s="20" t="str">
        <f>IF(COUNTIF($J$2:J30,J30)&gt;1,"DUPLICATE","OK")</f>
        <v>OK</v>
      </c>
      <c r="X30" t="str">
        <f t="shared" si="0"/>
        <v>Unique</v>
      </c>
      <c r="AA30">
        <f t="shared" si="1"/>
        <v>1</v>
      </c>
      <c r="AB30">
        <f t="shared" si="2"/>
        <v>1</v>
      </c>
      <c r="AC30" s="105">
        <f t="shared" si="3"/>
        <v>1</v>
      </c>
    </row>
    <row r="31" spans="1:29" ht="28" x14ac:dyDescent="0.2">
      <c r="A31" s="10" t="str">
        <f>IF(LEFT(TRIM([1]Raw_Data!A29),5)="CUST-",UPPER(TRIM([1]Raw_Data!A29)),"CUST-"&amp;UPPER(TRIM([1]Raw_Data!A29)))</f>
        <v>CUST-1026</v>
      </c>
      <c r="B31" s="10" t="str">
        <f>[1]Raw_Data!B29</f>
        <v>ACC-220288</v>
      </c>
      <c r="C31" s="10" t="str">
        <f>PROPER(TRIM(CLEAN([1]Raw_Data!C29)))</f>
        <v>Vishal Agarwal</v>
      </c>
      <c r="D31" s="10" t="str">
        <f>[1]Raw_Data!D29</f>
        <v>2026-08-25</v>
      </c>
      <c r="E31" s="21" t="str">
        <f>PROPER(TRIM([1]Raw_Data!E29))</f>
        <v>Credit</v>
      </c>
      <c r="F31" s="10">
        <f>IFERROR(VALUE(SUBSTITUTE(SUBSTITUTE(TRIM([1]Raw_Data!F29),"$",""),",","")),"CHECK")</f>
        <v>25000</v>
      </c>
      <c r="G31" s="10" t="str">
        <f>[1]Raw_Data!G29</f>
        <v>INR</v>
      </c>
      <c r="H31" s="10" t="str">
        <f>IF(TRIM([1]Raw_Data!H29)="","UNKNOWN",TRIM([1]Raw_Data!H29))</f>
        <v>BRN-01</v>
      </c>
      <c r="I31" s="10" t="str">
        <f>[1]Raw_Data!I29</f>
        <v>TXN-0026</v>
      </c>
      <c r="J31" s="10" t="str">
        <f>PROPER(TRIM(CLEAN([1]Raw_Data!J29)))</f>
        <v>Project Bonus</v>
      </c>
      <c r="K31" s="20" t="str">
        <f>IF(COUNTIF($J$2:J31,J31)&gt;1,"DUPLICATE","OK")</f>
        <v>OK</v>
      </c>
      <c r="X31" t="str">
        <f t="shared" si="0"/>
        <v>Unique</v>
      </c>
      <c r="AA31">
        <f t="shared" si="1"/>
        <v>1</v>
      </c>
      <c r="AB31">
        <f t="shared" si="2"/>
        <v>1</v>
      </c>
      <c r="AC31" s="105">
        <f t="shared" si="3"/>
        <v>1</v>
      </c>
    </row>
    <row r="32" spans="1:29" ht="17" x14ac:dyDescent="0.2">
      <c r="AA32">
        <f t="shared" si="1"/>
        <v>0</v>
      </c>
      <c r="AB32">
        <f t="shared" si="2"/>
        <v>0</v>
      </c>
      <c r="AC32" s="105">
        <f t="shared" si="3"/>
        <v>0</v>
      </c>
    </row>
    <row r="33" spans="1:10" ht="272" x14ac:dyDescent="0.2">
      <c r="A33" s="69" t="s">
        <v>287</v>
      </c>
      <c r="B33" s="69"/>
      <c r="C33" s="69"/>
      <c r="D33" s="69"/>
      <c r="E33" s="69"/>
      <c r="F33" s="69"/>
      <c r="G33" s="69"/>
      <c r="H33" s="69"/>
      <c r="I33" s="69"/>
      <c r="J33" s="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showGridLines="0" zoomScale="130" zoomScaleNormal="130" workbookViewId="0">
      <selection activeCell="U4" sqref="U4:U1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14" max="14" width="13.83203125" customWidth="1"/>
    <col min="17" max="17" width="16" customWidth="1"/>
    <col min="21" max="21" width="24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73" t="s">
        <v>431</v>
      </c>
      <c r="N1" s="73" t="s">
        <v>432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74" t="str">
        <f>IF(ISNUMBER(M2),"Valid Date","Not a Date")</f>
        <v>Not a Date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/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/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/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83" t="s">
        <v>279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showGridLines="0" zoomScaleNormal="100" workbookViewId="0">
      <pane ySplit="1" topLeftCell="A2" activePane="bottomLeft" state="frozen"/>
      <selection pane="bottomLeft" activeCell="F12" sqref="F12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5.5" customWidth="1"/>
    <col min="6" max="6" width="14" customWidth="1"/>
    <col min="7" max="7" width="10" customWidth="1"/>
    <col min="8" max="9" width="18" customWidth="1"/>
    <col min="10" max="10" width="25.83203125" customWidth="1"/>
    <col min="11" max="11" width="15.6640625" customWidth="1"/>
  </cols>
  <sheetData>
    <row r="1" spans="1:11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3" t="s">
        <v>305</v>
      </c>
    </row>
    <row r="2" spans="1:11" ht="30" customHeight="1" x14ac:dyDescent="0.2">
      <c r="A2" s="94" t="s">
        <v>286</v>
      </c>
      <c r="B2" s="94"/>
      <c r="C2" s="94"/>
      <c r="D2" s="94"/>
      <c r="E2" s="94"/>
      <c r="F2" s="94"/>
      <c r="G2" s="94"/>
      <c r="H2" s="94"/>
      <c r="I2" s="94"/>
      <c r="J2" s="94"/>
    </row>
    <row r="3" spans="1:11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K3" s="20" t="str">
        <f>IF(COUNTIF($J$3:J3,J3)&gt;1,"DUPLICATE","OK")</f>
        <v>OK</v>
      </c>
    </row>
    <row r="4" spans="1:11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K4" s="20" t="str">
        <f>IF(COUNTIF($J$3:J4,J4)&gt;1,"DUPLICATE","OK")</f>
        <v>OK</v>
      </c>
    </row>
    <row r="5" spans="1:11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K5" s="20" t="str">
        <f>IF(COUNTIF($J$3:J5,J5)&gt;1,"DUPLICATE","OK")</f>
        <v>OK</v>
      </c>
    </row>
    <row r="6" spans="1:11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K6" s="20" t="str">
        <f>IF(COUNTIF($J$3:J6,J6)&gt;1,"DUPLICATE","OK")</f>
        <v>OK</v>
      </c>
    </row>
    <row r="7" spans="1:11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K7" s="20" t="str">
        <f>IF(COUNTIF($J$3:J7,J7)&gt;1,"DUPLICATE","OK")</f>
        <v>OK</v>
      </c>
    </row>
    <row r="8" spans="1:11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K8" s="20" t="str">
        <f>IF(COUNTIF($J$3:J8,J8)&gt;1,"DUPLICATE","OK")</f>
        <v>OK</v>
      </c>
    </row>
    <row r="9" spans="1:11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K9" s="20" t="str">
        <f>IF(COUNTIF($J$3:J9,J9)&gt;1,"DUPLICATE","OK")</f>
        <v>OK</v>
      </c>
    </row>
    <row r="10" spans="1:11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K10" s="20" t="str">
        <f>IF(COUNTIF($J$3:J10,J10)&gt;1,"DUPLICATE","OK")</f>
        <v>OK</v>
      </c>
    </row>
    <row r="11" spans="1:11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K11" s="20" t="str">
        <f>IF(COUNTIF($J$3:J11,J11)&gt;1,"DUPLICATE","OK")</f>
        <v>OK</v>
      </c>
    </row>
    <row r="12" spans="1:11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K12" s="20" t="str">
        <f>IF(COUNTIF($J$3:J12,J12)&gt;1,"DUPLICATE","OK")</f>
        <v>OK</v>
      </c>
    </row>
    <row r="13" spans="1:11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K13" s="20" t="str">
        <f>IF(COUNTIF($J$3:J13,J13)&gt;1,"DUPLICATE","OK")</f>
        <v>OK</v>
      </c>
    </row>
    <row r="14" spans="1:11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K14" s="20" t="str">
        <f>IF(COUNTIF($J$3:J14,J14)&gt;1,"DUPLICATE","OK")</f>
        <v>OK</v>
      </c>
    </row>
    <row r="15" spans="1:11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K15" s="20" t="str">
        <f>IF(COUNTIF($J$3:J15,J15)&gt;1,"DUPLICATE","OK")</f>
        <v>OK</v>
      </c>
    </row>
    <row r="16" spans="1:11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K16" s="20" t="str">
        <f>IF(COUNTIF($J$3:J16,J16)&gt;1,"DUPLICATE","OK")</f>
        <v>OK</v>
      </c>
    </row>
    <row r="17" spans="1:11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K17" s="20" t="str">
        <f>IF(COUNTIF($J$3:J17,J17)&gt;1,"DUPLICATE","OK")</f>
        <v>OK</v>
      </c>
    </row>
    <row r="18" spans="1:11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K18" s="20" t="str">
        <f>IF(COUNTIF($J$3:J18,J18)&gt;1,"DUPLICATE","OK")</f>
        <v>OK</v>
      </c>
    </row>
    <row r="19" spans="1:11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K19" s="20" t="str">
        <f>IF(COUNTIF($J$3:J19,J19)&gt;1,"DUPLICATE","OK")</f>
        <v>OK</v>
      </c>
    </row>
    <row r="20" spans="1:11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K20" s="20" t="str">
        <f>IF(COUNTIF($J$3:J20,J20)&gt;1,"DUPLICATE","OK")</f>
        <v>DUPLICATE</v>
      </c>
    </row>
    <row r="21" spans="1:11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K21" s="20" t="str">
        <f>IF(COUNTIF($J$3:J21,J21)&gt;1,"DUPLICATE","OK")</f>
        <v>OK</v>
      </c>
    </row>
    <row r="22" spans="1:11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K22" s="20" t="str">
        <f>IF(COUNTIF($J$3:J22,J22)&gt;1,"DUPLICATE","OK")</f>
        <v>OK</v>
      </c>
    </row>
    <row r="23" spans="1:11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K23" s="20" t="str">
        <f>IF(COUNTIF($J$3:J23,J23)&gt;1,"DUPLICATE","OK")</f>
        <v>OK</v>
      </c>
    </row>
    <row r="24" spans="1:11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K24" s="20" t="str">
        <f>IF(COUNTIF($J$3:J24,J24)&gt;1,"DUPLICATE","OK")</f>
        <v>OK</v>
      </c>
    </row>
    <row r="25" spans="1:11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K25" s="20" t="str">
        <f>IF(COUNTIF($J$3:J25,J25)&gt;1,"DUPLICATE","OK")</f>
        <v>OK</v>
      </c>
    </row>
    <row r="26" spans="1:11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K26" s="20" t="str">
        <f>IF(COUNTIF($J$3:J26,J26)&gt;1,"DUPLICATE","OK")</f>
        <v>OK</v>
      </c>
    </row>
    <row r="27" spans="1:11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K27" s="20" t="str">
        <f>IF(COUNTIF($J$3:J27,J27)&gt;1,"DUPLICATE","OK")</f>
        <v>OK</v>
      </c>
    </row>
    <row r="28" spans="1:11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K28" s="20" t="str">
        <f>IF(COUNTIF($J$3:J28,J28)&gt;1,"DUPLICATE","OK")</f>
        <v>OK</v>
      </c>
    </row>
    <row r="29" spans="1:11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K29" s="20" t="str">
        <f>IF(COUNTIF($J$3:J29,J29)&gt;1,"DUPLICATE","OK")</f>
        <v>OK</v>
      </c>
    </row>
    <row r="30" spans="1:11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K30" s="20" t="str">
        <f>IF(COUNTIF($J$3:J30,J30)&gt;1,"DUPLICATE","OK")</f>
        <v>OK</v>
      </c>
    </row>
    <row r="31" spans="1:11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K31" s="20" t="str">
        <f>IF(COUNTIF($J$3:J31,J31)&gt;1,"DUPLICATE","OK")</f>
        <v>OK</v>
      </c>
    </row>
    <row r="32" spans="1:11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K32" s="20" t="str">
        <f>IF(COUNTIF($J$3:J32,J32)&gt;1,"DUPLICATE","OK")</f>
        <v>OK</v>
      </c>
    </row>
    <row r="34" spans="1:10" ht="21.75" customHeight="1" x14ac:dyDescent="0.2">
      <c r="A34" s="84" t="s">
        <v>287</v>
      </c>
      <c r="B34" s="84"/>
      <c r="C34" s="84"/>
      <c r="D34" s="84"/>
      <c r="E34" s="84"/>
      <c r="F34" s="84"/>
      <c r="G34" s="84"/>
      <c r="H34" s="84"/>
      <c r="I34" s="84"/>
      <c r="J34" s="84"/>
    </row>
    <row r="36" spans="1:10" ht="24" customHeight="1" x14ac:dyDescent="0.2">
      <c r="A36" s="85" t="s">
        <v>288</v>
      </c>
      <c r="B36" s="85"/>
      <c r="C36" s="85"/>
      <c r="D36" s="85"/>
      <c r="E36" s="85"/>
      <c r="F36" s="85"/>
      <c r="G36" s="85"/>
      <c r="H36" s="85"/>
      <c r="I36" s="85"/>
      <c r="J36" s="85"/>
    </row>
    <row r="37" spans="1:10" ht="21.75" customHeight="1" x14ac:dyDescent="0.2">
      <c r="A37" s="1" t="s">
        <v>289</v>
      </c>
      <c r="B37" s="86" t="s">
        <v>290</v>
      </c>
      <c r="C37" s="86"/>
      <c r="D37" s="86"/>
      <c r="E37" s="86"/>
      <c r="F37" s="86"/>
      <c r="G37" s="87" t="s">
        <v>291</v>
      </c>
      <c r="H37" s="87"/>
      <c r="I37" s="87"/>
      <c r="J37" s="87"/>
    </row>
    <row r="38" spans="1:10" ht="21.75" customHeight="1" x14ac:dyDescent="0.2">
      <c r="A38" s="1" t="s">
        <v>292</v>
      </c>
      <c r="B38" s="86" t="s">
        <v>293</v>
      </c>
      <c r="C38" s="86"/>
      <c r="D38" s="86"/>
      <c r="E38" s="86"/>
      <c r="F38" s="86"/>
      <c r="G38" s="87" t="s">
        <v>294</v>
      </c>
      <c r="H38" s="87"/>
      <c r="I38" s="87"/>
      <c r="J38" s="87"/>
    </row>
    <row r="39" spans="1:10" ht="21.75" customHeight="1" x14ac:dyDescent="0.2">
      <c r="A39" s="1" t="s">
        <v>295</v>
      </c>
      <c r="B39" s="86" t="s">
        <v>296</v>
      </c>
      <c r="C39" s="86"/>
      <c r="D39" s="86"/>
      <c r="E39" s="86"/>
      <c r="F39" s="86"/>
      <c r="G39" s="87" t="s">
        <v>297</v>
      </c>
      <c r="H39" s="87"/>
      <c r="I39" s="87"/>
      <c r="J39" s="87"/>
    </row>
    <row r="40" spans="1:10" ht="21.75" customHeight="1" x14ac:dyDescent="0.2">
      <c r="A40" s="1" t="s">
        <v>298</v>
      </c>
      <c r="B40" s="86" t="s">
        <v>299</v>
      </c>
      <c r="C40" s="86"/>
      <c r="D40" s="86"/>
      <c r="E40" s="86"/>
      <c r="F40" s="86"/>
      <c r="G40" s="87" t="s">
        <v>300</v>
      </c>
      <c r="H40" s="87"/>
      <c r="I40" s="87"/>
      <c r="J40" s="87"/>
    </row>
    <row r="41" spans="1:10" ht="21.75" customHeight="1" x14ac:dyDescent="0.2">
      <c r="A41" s="1" t="s">
        <v>301</v>
      </c>
      <c r="B41" s="86" t="s">
        <v>302</v>
      </c>
      <c r="C41" s="86"/>
      <c r="D41" s="86"/>
      <c r="E41" s="86"/>
      <c r="F41" s="86"/>
      <c r="G41" s="87" t="s">
        <v>303</v>
      </c>
      <c r="H41" s="87"/>
      <c r="I41" s="87"/>
      <c r="J41" s="87"/>
    </row>
    <row r="43" spans="1:10" ht="18" customHeight="1" x14ac:dyDescent="0.2">
      <c r="A43" s="88" t="s">
        <v>304</v>
      </c>
      <c r="B43" s="88"/>
      <c r="C43" s="88"/>
      <c r="D43" s="88"/>
      <c r="E43" s="88"/>
      <c r="F43" s="88"/>
      <c r="G43" s="88"/>
      <c r="H43" s="88"/>
      <c r="I43" s="88"/>
      <c r="J43" s="88"/>
    </row>
  </sheetData>
  <mergeCells count="14">
    <mergeCell ref="A2:J2"/>
    <mergeCell ref="A34:J34"/>
    <mergeCell ref="A36:J36"/>
    <mergeCell ref="B37:F37"/>
    <mergeCell ref="G37:J37"/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738F-FE5B-5E49-954D-8D026CA37EAF}">
  <dimension ref="B1:G102"/>
  <sheetViews>
    <sheetView workbookViewId="0">
      <selection activeCell="D40" sqref="D40"/>
    </sheetView>
  </sheetViews>
  <sheetFormatPr baseColWidth="10" defaultRowHeight="15" x14ac:dyDescent="0.2"/>
  <cols>
    <col min="1" max="1" width="3.33203125" customWidth="1"/>
    <col min="2" max="2" width="15" customWidth="1"/>
    <col min="3" max="3" width="21.6640625" customWidth="1"/>
    <col min="4" max="5" width="18.33203125" customWidth="1"/>
    <col min="6" max="7" width="16.6640625" customWidth="1"/>
  </cols>
  <sheetData>
    <row r="1" spans="2:7" ht="19" x14ac:dyDescent="0.2">
      <c r="B1" s="97" t="s">
        <v>306</v>
      </c>
      <c r="C1" s="97"/>
      <c r="D1" s="97"/>
      <c r="E1" s="97"/>
      <c r="F1" s="97"/>
      <c r="G1" s="97"/>
    </row>
    <row r="2" spans="2:7" x14ac:dyDescent="0.2">
      <c r="B2" s="98" t="s">
        <v>307</v>
      </c>
      <c r="C2" s="98"/>
      <c r="D2" s="98"/>
      <c r="E2" s="98"/>
      <c r="F2" s="98"/>
      <c r="G2" s="98"/>
    </row>
    <row r="4" spans="2:7" x14ac:dyDescent="0.2">
      <c r="B4" s="95" t="s">
        <v>308</v>
      </c>
      <c r="C4" s="95"/>
      <c r="D4" s="95"/>
      <c r="E4" s="95"/>
      <c r="F4" s="95"/>
      <c r="G4" s="95"/>
    </row>
    <row r="5" spans="2:7" x14ac:dyDescent="0.2">
      <c r="B5" s="26" t="s">
        <v>309</v>
      </c>
    </row>
    <row r="6" spans="2:7" x14ac:dyDescent="0.2">
      <c r="B6" s="25" t="s">
        <v>310</v>
      </c>
    </row>
    <row r="7" spans="2:7" x14ac:dyDescent="0.2">
      <c r="B7" s="25" t="s">
        <v>311</v>
      </c>
    </row>
    <row r="8" spans="2:7" x14ac:dyDescent="0.2">
      <c r="B8" s="25" t="s">
        <v>312</v>
      </c>
    </row>
    <row r="9" spans="2:7" x14ac:dyDescent="0.2">
      <c r="B9" s="25" t="s">
        <v>313</v>
      </c>
    </row>
    <row r="10" spans="2:7" x14ac:dyDescent="0.2">
      <c r="B10" s="25" t="s">
        <v>314</v>
      </c>
    </row>
    <row r="11" spans="2:7" x14ac:dyDescent="0.2">
      <c r="B11" s="25" t="s">
        <v>315</v>
      </c>
    </row>
    <row r="13" spans="2:7" x14ac:dyDescent="0.2">
      <c r="B13" s="95" t="s">
        <v>316</v>
      </c>
      <c r="C13" s="95"/>
      <c r="D13" s="95"/>
      <c r="E13" s="95"/>
      <c r="F13" s="95"/>
      <c r="G13" s="95"/>
    </row>
    <row r="14" spans="2:7" ht="42" customHeight="1" x14ac:dyDescent="0.2">
      <c r="B14" s="99" t="s">
        <v>317</v>
      </c>
      <c r="C14" s="100"/>
      <c r="D14" s="100"/>
      <c r="E14" s="100"/>
      <c r="F14" s="100"/>
      <c r="G14" s="100"/>
    </row>
    <row r="16" spans="2:7" x14ac:dyDescent="0.2">
      <c r="B16" s="95" t="s">
        <v>318</v>
      </c>
      <c r="C16" s="95"/>
      <c r="D16" s="95"/>
      <c r="E16" s="95"/>
      <c r="F16" s="95"/>
      <c r="G16" s="95"/>
    </row>
    <row r="17" spans="2:7" x14ac:dyDescent="0.2">
      <c r="B17" s="27" t="s">
        <v>43</v>
      </c>
      <c r="C17" s="27" t="s">
        <v>37</v>
      </c>
      <c r="D17" s="27" t="s">
        <v>38</v>
      </c>
      <c r="E17" s="27" t="s">
        <v>39</v>
      </c>
      <c r="F17" s="27" t="s">
        <v>319</v>
      </c>
      <c r="G17" s="27" t="s">
        <v>42</v>
      </c>
    </row>
    <row r="18" spans="2:7" x14ac:dyDescent="0.2">
      <c r="B18" s="28" t="s">
        <v>54</v>
      </c>
      <c r="C18" s="29" t="s">
        <v>48</v>
      </c>
      <c r="D18" s="34">
        <v>46235</v>
      </c>
      <c r="E18" s="29" t="s">
        <v>50</v>
      </c>
      <c r="F18" s="36">
        <v>15000</v>
      </c>
      <c r="G18" s="30" t="s">
        <v>53</v>
      </c>
    </row>
    <row r="19" spans="2:7" x14ac:dyDescent="0.2">
      <c r="B19" s="31" t="s">
        <v>64</v>
      </c>
      <c r="C19" s="32" t="s">
        <v>320</v>
      </c>
      <c r="D19" s="35">
        <v>46236</v>
      </c>
      <c r="E19" s="32" t="s">
        <v>80</v>
      </c>
      <c r="F19" s="37">
        <v>8500</v>
      </c>
      <c r="G19" s="33" t="s">
        <v>63</v>
      </c>
    </row>
    <row r="20" spans="2:7" x14ac:dyDescent="0.2">
      <c r="B20" s="31" t="s">
        <v>73</v>
      </c>
      <c r="C20" s="32" t="s">
        <v>321</v>
      </c>
      <c r="D20" s="35">
        <v>46235</v>
      </c>
      <c r="E20" s="32" t="s">
        <v>50</v>
      </c>
      <c r="F20" s="37">
        <v>22000</v>
      </c>
      <c r="G20" s="33" t="s">
        <v>322</v>
      </c>
    </row>
    <row r="21" spans="2:7" x14ac:dyDescent="0.2">
      <c r="B21" s="31" t="s">
        <v>82</v>
      </c>
      <c r="C21" s="32" t="s">
        <v>78</v>
      </c>
      <c r="D21" s="35">
        <v>46238</v>
      </c>
      <c r="E21" s="32" t="s">
        <v>80</v>
      </c>
      <c r="F21" s="37">
        <v>3750</v>
      </c>
      <c r="G21" s="33" t="s">
        <v>53</v>
      </c>
    </row>
    <row r="22" spans="2:7" x14ac:dyDescent="0.2">
      <c r="B22" s="31" t="s">
        <v>323</v>
      </c>
      <c r="C22" s="32" t="s">
        <v>87</v>
      </c>
      <c r="D22" s="35">
        <v>46239</v>
      </c>
      <c r="E22" s="32" t="s">
        <v>50</v>
      </c>
      <c r="F22" s="37">
        <v>9800</v>
      </c>
      <c r="G22" s="33" t="s">
        <v>90</v>
      </c>
    </row>
    <row r="23" spans="2:7" x14ac:dyDescent="0.2">
      <c r="B23" s="31" t="s">
        <v>98</v>
      </c>
      <c r="C23" s="32" t="s">
        <v>324</v>
      </c>
      <c r="D23" s="35">
        <v>46240</v>
      </c>
      <c r="E23" s="32" t="s">
        <v>80</v>
      </c>
      <c r="F23" s="37">
        <v>1200.5</v>
      </c>
      <c r="G23" s="33" t="s">
        <v>63</v>
      </c>
    </row>
    <row r="24" spans="2:7" x14ac:dyDescent="0.2">
      <c r="B24" s="31" t="s">
        <v>108</v>
      </c>
      <c r="C24" s="32" t="s">
        <v>325</v>
      </c>
      <c r="D24" s="35">
        <v>46241</v>
      </c>
      <c r="E24" s="32" t="s">
        <v>80</v>
      </c>
      <c r="F24" s="37">
        <v>500</v>
      </c>
      <c r="G24" s="33" t="s">
        <v>107</v>
      </c>
    </row>
    <row r="25" spans="2:7" x14ac:dyDescent="0.2">
      <c r="B25" s="31" t="s">
        <v>116</v>
      </c>
      <c r="C25" s="32" t="s">
        <v>113</v>
      </c>
      <c r="D25" s="35">
        <v>46242</v>
      </c>
      <c r="E25" s="32" t="s">
        <v>50</v>
      </c>
      <c r="F25" s="37">
        <v>45000</v>
      </c>
      <c r="G25" s="33" t="s">
        <v>322</v>
      </c>
    </row>
    <row r="26" spans="2:7" x14ac:dyDescent="0.2">
      <c r="B26" s="31" t="s">
        <v>124</v>
      </c>
      <c r="C26" s="32" t="s">
        <v>326</v>
      </c>
      <c r="D26" s="35">
        <v>46243</v>
      </c>
      <c r="E26" s="32" t="s">
        <v>80</v>
      </c>
      <c r="F26" s="37">
        <v>2300</v>
      </c>
      <c r="G26" s="33" t="s">
        <v>90</v>
      </c>
    </row>
    <row r="27" spans="2:7" x14ac:dyDescent="0.2">
      <c r="B27" s="31" t="s">
        <v>132</v>
      </c>
      <c r="C27" s="32" t="s">
        <v>327</v>
      </c>
      <c r="D27" s="35">
        <v>46244</v>
      </c>
      <c r="E27" s="32" t="s">
        <v>50</v>
      </c>
      <c r="F27" s="37">
        <v>11000</v>
      </c>
      <c r="G27" s="33" t="s">
        <v>53</v>
      </c>
    </row>
    <row r="28" spans="2:7" x14ac:dyDescent="0.2">
      <c r="B28" s="31" t="s">
        <v>141</v>
      </c>
      <c r="C28" s="32" t="s">
        <v>328</v>
      </c>
      <c r="D28" s="35">
        <v>46245</v>
      </c>
      <c r="E28" s="32" t="s">
        <v>80</v>
      </c>
      <c r="F28" s="37">
        <v>750</v>
      </c>
      <c r="G28" s="33" t="s">
        <v>140</v>
      </c>
    </row>
    <row r="29" spans="2:7" x14ac:dyDescent="0.2">
      <c r="B29" s="31" t="s">
        <v>158</v>
      </c>
      <c r="C29" s="32" t="s">
        <v>155</v>
      </c>
      <c r="D29" s="35">
        <v>46248</v>
      </c>
      <c r="E29" s="32" t="s">
        <v>80</v>
      </c>
      <c r="F29" s="37">
        <v>4200</v>
      </c>
      <c r="G29" s="33" t="s">
        <v>107</v>
      </c>
    </row>
    <row r="30" spans="2:7" x14ac:dyDescent="0.2">
      <c r="B30" s="31" t="s">
        <v>167</v>
      </c>
      <c r="C30" s="32" t="s">
        <v>329</v>
      </c>
      <c r="D30" s="35">
        <v>46249</v>
      </c>
      <c r="E30" s="32" t="s">
        <v>50</v>
      </c>
      <c r="F30" s="37">
        <v>18900</v>
      </c>
      <c r="G30" s="33" t="s">
        <v>53</v>
      </c>
    </row>
    <row r="31" spans="2:7" x14ac:dyDescent="0.2">
      <c r="B31" s="31" t="s">
        <v>175</v>
      </c>
      <c r="C31" s="32" t="s">
        <v>330</v>
      </c>
      <c r="D31" s="35">
        <v>46250</v>
      </c>
      <c r="E31" s="32" t="s">
        <v>80</v>
      </c>
      <c r="F31" s="37">
        <v>250</v>
      </c>
      <c r="G31" s="33" t="s">
        <v>322</v>
      </c>
    </row>
    <row r="32" spans="2:7" x14ac:dyDescent="0.2">
      <c r="B32" s="31" t="s">
        <v>183</v>
      </c>
      <c r="C32" s="32" t="s">
        <v>331</v>
      </c>
      <c r="D32" s="35">
        <v>46251</v>
      </c>
      <c r="E32" s="32" t="s">
        <v>50</v>
      </c>
      <c r="F32" s="37">
        <v>8000</v>
      </c>
      <c r="G32" s="33" t="s">
        <v>90</v>
      </c>
    </row>
    <row r="33" spans="2:7" x14ac:dyDescent="0.2">
      <c r="B33" s="31" t="s">
        <v>191</v>
      </c>
      <c r="C33" s="32" t="s">
        <v>332</v>
      </c>
      <c r="D33" s="35">
        <v>46253</v>
      </c>
      <c r="E33" s="32" t="s">
        <v>80</v>
      </c>
      <c r="F33" s="37">
        <v>1050</v>
      </c>
      <c r="G33" s="33" t="s">
        <v>140</v>
      </c>
    </row>
    <row r="34" spans="2:7" x14ac:dyDescent="0.2">
      <c r="B34" s="31" t="s">
        <v>199</v>
      </c>
      <c r="C34" s="32" t="s">
        <v>196</v>
      </c>
      <c r="D34" s="35">
        <v>46254</v>
      </c>
      <c r="E34" s="32" t="s">
        <v>50</v>
      </c>
      <c r="F34" s="37">
        <v>30000</v>
      </c>
      <c r="G34" s="33" t="s">
        <v>63</v>
      </c>
    </row>
    <row r="35" spans="2:7" x14ac:dyDescent="0.2">
      <c r="B35" s="31" t="s">
        <v>207</v>
      </c>
      <c r="C35" s="32" t="s">
        <v>333</v>
      </c>
      <c r="D35" s="35">
        <v>46255</v>
      </c>
      <c r="E35" s="32" t="s">
        <v>80</v>
      </c>
      <c r="F35" s="37">
        <v>600</v>
      </c>
      <c r="G35" s="33" t="s">
        <v>322</v>
      </c>
    </row>
    <row r="36" spans="2:7" x14ac:dyDescent="0.2">
      <c r="B36" s="31" t="s">
        <v>215</v>
      </c>
      <c r="C36" s="32" t="s">
        <v>334</v>
      </c>
      <c r="D36" s="35">
        <v>46256</v>
      </c>
      <c r="E36" s="32" t="s">
        <v>50</v>
      </c>
      <c r="F36" s="37">
        <v>5500</v>
      </c>
      <c r="G36" s="33" t="s">
        <v>53</v>
      </c>
    </row>
    <row r="37" spans="2:7" x14ac:dyDescent="0.2">
      <c r="B37" s="31" t="s">
        <v>223</v>
      </c>
      <c r="C37" s="32" t="s">
        <v>335</v>
      </c>
      <c r="D37" s="35">
        <v>46257</v>
      </c>
      <c r="E37" s="32" t="s">
        <v>50</v>
      </c>
      <c r="F37" s="37">
        <v>12750</v>
      </c>
      <c r="G37" s="33" t="s">
        <v>90</v>
      </c>
    </row>
    <row r="38" spans="2:7" x14ac:dyDescent="0.2">
      <c r="B38" s="31" t="s">
        <v>231</v>
      </c>
      <c r="C38" s="32" t="s">
        <v>336</v>
      </c>
      <c r="D38" s="35">
        <v>46258</v>
      </c>
      <c r="E38" s="32" t="s">
        <v>80</v>
      </c>
      <c r="F38" s="37">
        <v>900</v>
      </c>
      <c r="G38" s="33" t="s">
        <v>107</v>
      </c>
    </row>
    <row r="39" spans="2:7" x14ac:dyDescent="0.2">
      <c r="B39" s="31" t="s">
        <v>240</v>
      </c>
      <c r="C39" s="32" t="s">
        <v>236</v>
      </c>
      <c r="D39" s="35">
        <v>46259</v>
      </c>
      <c r="E39" s="32" t="s">
        <v>80</v>
      </c>
      <c r="F39" s="37">
        <v>2100</v>
      </c>
      <c r="G39" s="33" t="s">
        <v>322</v>
      </c>
    </row>
    <row r="40" spans="2:7" x14ac:dyDescent="0.2">
      <c r="B40" s="31" t="s">
        <v>247</v>
      </c>
      <c r="C40" s="32" t="s">
        <v>337</v>
      </c>
      <c r="D40" s="35">
        <v>46259</v>
      </c>
      <c r="E40" s="32" t="s">
        <v>50</v>
      </c>
      <c r="F40" s="37">
        <v>7200</v>
      </c>
      <c r="G40" s="33" t="s">
        <v>63</v>
      </c>
    </row>
    <row r="41" spans="2:7" x14ac:dyDescent="0.2">
      <c r="B41" s="31" t="s">
        <v>254</v>
      </c>
      <c r="C41" s="32" t="s">
        <v>338</v>
      </c>
      <c r="D41" s="35">
        <v>46259</v>
      </c>
      <c r="E41" s="32" t="s">
        <v>80</v>
      </c>
      <c r="F41" s="37">
        <v>350</v>
      </c>
      <c r="G41" s="33" t="s">
        <v>140</v>
      </c>
    </row>
    <row r="42" spans="2:7" x14ac:dyDescent="0.2">
      <c r="B42" s="31" t="s">
        <v>261</v>
      </c>
      <c r="C42" s="32" t="s">
        <v>339</v>
      </c>
      <c r="D42" s="35">
        <v>46259</v>
      </c>
      <c r="E42" s="32" t="s">
        <v>50</v>
      </c>
      <c r="F42" s="37">
        <v>25000</v>
      </c>
      <c r="G42" s="33" t="s">
        <v>53</v>
      </c>
    </row>
    <row r="43" spans="2:7" x14ac:dyDescent="0.2">
      <c r="B43" s="31" t="s">
        <v>268</v>
      </c>
      <c r="C43" s="32" t="s">
        <v>266</v>
      </c>
      <c r="D43" s="35">
        <v>46259</v>
      </c>
      <c r="E43" s="32" t="s">
        <v>80</v>
      </c>
      <c r="F43" s="37">
        <v>1800</v>
      </c>
      <c r="G43" s="33" t="s">
        <v>90</v>
      </c>
    </row>
    <row r="44" spans="2:7" x14ac:dyDescent="0.2">
      <c r="B44" s="31" t="s">
        <v>276</v>
      </c>
      <c r="C44" s="32" t="s">
        <v>340</v>
      </c>
      <c r="D44" s="35">
        <v>46259</v>
      </c>
      <c r="E44" s="32" t="s">
        <v>50</v>
      </c>
      <c r="F44" s="37">
        <v>14000</v>
      </c>
      <c r="G44" s="33" t="s">
        <v>107</v>
      </c>
    </row>
    <row r="46" spans="2:7" x14ac:dyDescent="0.2">
      <c r="B46" s="95" t="s">
        <v>341</v>
      </c>
      <c r="C46" s="95"/>
      <c r="D46" s="95"/>
      <c r="E46" s="95"/>
    </row>
    <row r="47" spans="2:7" x14ac:dyDescent="0.2">
      <c r="B47" s="45" t="s">
        <v>342</v>
      </c>
      <c r="C47" s="46" t="s">
        <v>343</v>
      </c>
      <c r="D47" s="46" t="s">
        <v>344</v>
      </c>
      <c r="E47" s="47" t="s">
        <v>345</v>
      </c>
    </row>
    <row r="48" spans="2:7" x14ac:dyDescent="0.2">
      <c r="B48" s="49" t="s">
        <v>346</v>
      </c>
      <c r="C48" s="48" t="s">
        <v>347</v>
      </c>
      <c r="D48" s="50" t="s">
        <v>348</v>
      </c>
      <c r="E48" s="51" t="s">
        <v>349</v>
      </c>
    </row>
    <row r="49" spans="2:5" x14ac:dyDescent="0.2">
      <c r="B49" s="49" t="s">
        <v>350</v>
      </c>
      <c r="C49" s="48" t="s">
        <v>351</v>
      </c>
      <c r="D49" s="50" t="s">
        <v>352</v>
      </c>
      <c r="E49" s="51" t="s">
        <v>353</v>
      </c>
    </row>
    <row r="50" spans="2:5" x14ac:dyDescent="0.2">
      <c r="B50" s="49" t="s">
        <v>354</v>
      </c>
      <c r="C50" s="48" t="s">
        <v>355</v>
      </c>
      <c r="D50" s="50" t="s">
        <v>356</v>
      </c>
      <c r="E50" s="51" t="s">
        <v>357</v>
      </c>
    </row>
    <row r="51" spans="2:5" x14ac:dyDescent="0.2">
      <c r="B51" s="49" t="s">
        <v>358</v>
      </c>
      <c r="C51" s="48" t="s">
        <v>359</v>
      </c>
      <c r="D51" s="50" t="s">
        <v>360</v>
      </c>
      <c r="E51" s="51" t="s">
        <v>381</v>
      </c>
    </row>
    <row r="52" spans="2:5" x14ac:dyDescent="0.2">
      <c r="B52" s="49" t="s">
        <v>361</v>
      </c>
      <c r="C52" s="48" t="s">
        <v>362</v>
      </c>
      <c r="D52" s="50" t="s">
        <v>363</v>
      </c>
      <c r="E52" s="51" t="s">
        <v>364</v>
      </c>
    </row>
    <row r="53" spans="2:5" x14ac:dyDescent="0.2">
      <c r="B53" s="49" t="s">
        <v>365</v>
      </c>
      <c r="C53" s="48" t="s">
        <v>366</v>
      </c>
      <c r="D53" s="50" t="s">
        <v>367</v>
      </c>
      <c r="E53" s="51" t="s">
        <v>368</v>
      </c>
    </row>
    <row r="54" spans="2:5" x14ac:dyDescent="0.2">
      <c r="B54" s="49" t="s">
        <v>369</v>
      </c>
      <c r="C54" s="48" t="s">
        <v>370</v>
      </c>
      <c r="D54" s="50" t="s">
        <v>371</v>
      </c>
      <c r="E54" s="51" t="s">
        <v>372</v>
      </c>
    </row>
    <row r="55" spans="2:5" x14ac:dyDescent="0.2">
      <c r="B55" s="49" t="s">
        <v>373</v>
      </c>
      <c r="C55" s="48" t="s">
        <v>374</v>
      </c>
      <c r="D55" s="50" t="s">
        <v>375</v>
      </c>
      <c r="E55" s="51" t="s">
        <v>376</v>
      </c>
    </row>
    <row r="56" spans="2:5" x14ac:dyDescent="0.2">
      <c r="B56" s="49" t="s">
        <v>377</v>
      </c>
      <c r="C56" s="48" t="s">
        <v>378</v>
      </c>
      <c r="D56" s="50" t="s">
        <v>379</v>
      </c>
      <c r="E56" s="51" t="s">
        <v>380</v>
      </c>
    </row>
    <row r="58" spans="2:5" x14ac:dyDescent="0.2">
      <c r="B58" s="95" t="s">
        <v>382</v>
      </c>
      <c r="C58" s="95"/>
      <c r="D58" s="95"/>
    </row>
    <row r="59" spans="2:5" x14ac:dyDescent="0.2">
      <c r="B59" s="42" t="s">
        <v>383</v>
      </c>
      <c r="C59" s="43" t="s">
        <v>384</v>
      </c>
      <c r="D59" s="44" t="s">
        <v>385</v>
      </c>
    </row>
    <row r="60" spans="2:5" x14ac:dyDescent="0.2">
      <c r="B60" s="31" t="s">
        <v>386</v>
      </c>
      <c r="C60" s="37">
        <f>MAX($F$18:$F$44)</f>
        <v>45000</v>
      </c>
      <c r="D60" s="52" t="s">
        <v>387</v>
      </c>
    </row>
    <row r="61" spans="2:5" x14ac:dyDescent="0.2">
      <c r="B61" s="31" t="s">
        <v>388</v>
      </c>
      <c r="C61" s="37">
        <f>LARGE($F$18:$F$44,2)</f>
        <v>30000</v>
      </c>
      <c r="D61" s="52" t="s">
        <v>389</v>
      </c>
    </row>
    <row r="62" spans="2:5" x14ac:dyDescent="0.2">
      <c r="B62" s="31" t="s">
        <v>390</v>
      </c>
      <c r="C62" s="37">
        <f>LARGE($F$18:$F$44,3)</f>
        <v>25000</v>
      </c>
      <c r="D62" s="52" t="s">
        <v>391</v>
      </c>
    </row>
    <row r="63" spans="2:5" x14ac:dyDescent="0.2">
      <c r="B63" s="31" t="s">
        <v>392</v>
      </c>
      <c r="C63" s="37">
        <f>SMALL($F$18:$F$44,1)</f>
        <v>250</v>
      </c>
      <c r="D63" s="52" t="s">
        <v>393</v>
      </c>
    </row>
    <row r="64" spans="2:5" x14ac:dyDescent="0.2">
      <c r="B64" s="31" t="s">
        <v>394</v>
      </c>
      <c r="C64" s="32" t="str">
        <f>INDEX($C$18:$C$44,MATCH(MAX($F$18:$F$44),$F$18:$F$44,0))</f>
        <v>Deepak Verma</v>
      </c>
      <c r="D64" s="52" t="s">
        <v>395</v>
      </c>
    </row>
    <row r="65" spans="2:7" x14ac:dyDescent="0.2">
      <c r="B65" s="31" t="s">
        <v>396</v>
      </c>
      <c r="C65" s="32">
        <f>_xlfn.RANK.EQ($F$18,$F$18:$F$44,0)</f>
        <v>6</v>
      </c>
      <c r="D65" s="52" t="s">
        <v>397</v>
      </c>
    </row>
    <row r="67" spans="2:7" x14ac:dyDescent="0.2">
      <c r="B67" s="96" t="s">
        <v>398</v>
      </c>
      <c r="C67" s="96"/>
      <c r="D67" s="96"/>
      <c r="E67" s="96"/>
    </row>
    <row r="68" spans="2:7" x14ac:dyDescent="0.2">
      <c r="B68" s="38" t="s">
        <v>37</v>
      </c>
      <c r="C68" s="38" t="s">
        <v>38</v>
      </c>
      <c r="D68" s="38" t="s">
        <v>39</v>
      </c>
      <c r="E68" s="38" t="s">
        <v>319</v>
      </c>
      <c r="G68" s="38" t="s">
        <v>399</v>
      </c>
    </row>
    <row r="69" spans="2:7" x14ac:dyDescent="0.2">
      <c r="B69" s="39" t="str" cm="1">
        <f t="array" ref="B69:E95">_xlfn._xlws.SORT($C$18:$F$44,4,-1)</f>
        <v>Deepak Verma</v>
      </c>
      <c r="C69" s="40">
        <v>46242</v>
      </c>
      <c r="D69" s="39" t="str">
        <v>Credit</v>
      </c>
      <c r="E69" s="41">
        <v>45000</v>
      </c>
      <c r="G69" s="39" t="str" cm="1">
        <f t="array" ref="G69:G95">_xlfn.SORTBY($C$18:$C$44,$G$18:$G$44,1,$F$18:$F$44,-1)</f>
        <v>Vishal Agarwal</v>
      </c>
    </row>
    <row r="70" spans="2:7" x14ac:dyDescent="0.2">
      <c r="B70" s="39" t="str">
        <v>Harsh Vardhan</v>
      </c>
      <c r="C70" s="40">
        <v>46254</v>
      </c>
      <c r="D70" s="39" t="str">
        <v>Credit</v>
      </c>
      <c r="E70" s="41">
        <v>30000</v>
      </c>
      <c r="G70" s="39" t="str">
        <v>Nikhil Joshi</v>
      </c>
    </row>
    <row r="71" spans="2:7" x14ac:dyDescent="0.2">
      <c r="B71" s="39" t="str">
        <v>Vishal Agarwal</v>
      </c>
      <c r="C71" s="40">
        <v>46259</v>
      </c>
      <c r="D71" s="39" t="str">
        <v>Credit</v>
      </c>
      <c r="E71" s="41">
        <v>25000</v>
      </c>
      <c r="G71" s="39" t="str">
        <v>Priya Sharma</v>
      </c>
    </row>
    <row r="72" spans="2:7" x14ac:dyDescent="0.2">
      <c r="B72" s="39" t="str">
        <v>Ananya Iyer</v>
      </c>
      <c r="C72" s="40">
        <v>46235</v>
      </c>
      <c r="D72" s="39" t="str">
        <v>Credit</v>
      </c>
      <c r="E72" s="41">
        <v>22000</v>
      </c>
      <c r="G72" s="39" t="str">
        <v>Arjun Bose</v>
      </c>
    </row>
    <row r="73" spans="2:7" x14ac:dyDescent="0.2">
      <c r="B73" s="39" t="str">
        <v>Nikhil Joshi</v>
      </c>
      <c r="C73" s="40">
        <v>46249</v>
      </c>
      <c r="D73" s="39" t="str">
        <v>Credit</v>
      </c>
      <c r="E73" s="41">
        <v>18900</v>
      </c>
      <c r="G73" s="39" t="str">
        <v>Sanjay Kapoor</v>
      </c>
    </row>
    <row r="74" spans="2:7" x14ac:dyDescent="0.2">
      <c r="B74" s="39" t="str">
        <v>Priya Sharma</v>
      </c>
      <c r="C74" s="40">
        <v>46235</v>
      </c>
      <c r="D74" s="39" t="str">
        <v>Credit</v>
      </c>
      <c r="E74" s="41">
        <v>15000</v>
      </c>
      <c r="G74" s="39" t="str">
        <v>Vikram Singh</v>
      </c>
    </row>
    <row r="75" spans="2:7" x14ac:dyDescent="0.2">
      <c r="B75" s="39" t="str">
        <v>Rajan Pillai</v>
      </c>
      <c r="C75" s="40">
        <v>46259</v>
      </c>
      <c r="D75" s="39" t="str">
        <v>Credit</v>
      </c>
      <c r="E75" s="41">
        <v>14000</v>
      </c>
      <c r="G75" s="39" t="str">
        <v>Harsh Vardhan</v>
      </c>
    </row>
    <row r="76" spans="2:7" x14ac:dyDescent="0.2">
      <c r="B76" s="39" t="str">
        <v>Radha Krishna</v>
      </c>
      <c r="C76" s="40">
        <v>46257</v>
      </c>
      <c r="D76" s="39" t="str">
        <v>Credit</v>
      </c>
      <c r="E76" s="41">
        <v>12750</v>
      </c>
      <c r="G76" s="39" t="str">
        <v>Rahul Mehta</v>
      </c>
    </row>
    <row r="77" spans="2:7" x14ac:dyDescent="0.2">
      <c r="B77" s="39" t="str">
        <v>Arjun Bose</v>
      </c>
      <c r="C77" s="40">
        <v>46244</v>
      </c>
      <c r="D77" s="39" t="str">
        <v>Credit</v>
      </c>
      <c r="E77" s="41">
        <v>11000</v>
      </c>
      <c r="G77" s="39" t="str">
        <v>Kiran Bhat</v>
      </c>
    </row>
    <row r="78" spans="2:7" x14ac:dyDescent="0.2">
      <c r="B78" s="39" t="str">
        <v>Sneha Nair</v>
      </c>
      <c r="C78" s="40">
        <v>46239</v>
      </c>
      <c r="D78" s="39" t="str">
        <v>Credit</v>
      </c>
      <c r="E78" s="41">
        <v>9800</v>
      </c>
      <c r="G78" s="39" t="str">
        <v>Amit Patel</v>
      </c>
    </row>
    <row r="79" spans="2:7" x14ac:dyDescent="0.2">
      <c r="B79" s="39" t="str">
        <v>Rahul Mehta</v>
      </c>
      <c r="C79" s="40">
        <v>46236</v>
      </c>
      <c r="D79" s="39" t="str">
        <v>Debit</v>
      </c>
      <c r="E79" s="41">
        <v>8500</v>
      </c>
      <c r="G79" s="39" t="str">
        <v>Radha Krishna</v>
      </c>
    </row>
    <row r="80" spans="2:7" x14ac:dyDescent="0.2">
      <c r="B80" s="39" t="str">
        <v>Rohit Kumar</v>
      </c>
      <c r="C80" s="40">
        <v>46251</v>
      </c>
      <c r="D80" s="39" t="str">
        <v>Credit</v>
      </c>
      <c r="E80" s="41">
        <v>8000</v>
      </c>
      <c r="G80" s="39" t="str">
        <v>Sneha Nair</v>
      </c>
    </row>
    <row r="81" spans="2:7" x14ac:dyDescent="0.2">
      <c r="B81" s="39" t="str">
        <v>Kiran Bhat</v>
      </c>
      <c r="C81" s="40">
        <v>46259</v>
      </c>
      <c r="D81" s="39" t="str">
        <v>Credit</v>
      </c>
      <c r="E81" s="41">
        <v>7200</v>
      </c>
      <c r="G81" s="39" t="str">
        <v>Rohit Kumar</v>
      </c>
    </row>
    <row r="82" spans="2:7" x14ac:dyDescent="0.2">
      <c r="B82" s="39" t="str">
        <v>Sanjay Kapoor</v>
      </c>
      <c r="C82" s="40">
        <v>46256</v>
      </c>
      <c r="D82" s="39" t="str">
        <v>Credit</v>
      </c>
      <c r="E82" s="41">
        <v>5500</v>
      </c>
      <c r="G82" s="39" t="str">
        <v>Meena Krishnan</v>
      </c>
    </row>
    <row r="83" spans="2:7" x14ac:dyDescent="0.2">
      <c r="B83" s="39" t="str">
        <v>Pooja Desai</v>
      </c>
      <c r="C83" s="40">
        <v>46248</v>
      </c>
      <c r="D83" s="39" t="str">
        <v>Debit</v>
      </c>
      <c r="E83" s="41">
        <v>4200</v>
      </c>
      <c r="G83" s="39" t="str">
        <v>Sunita Rao</v>
      </c>
    </row>
    <row r="84" spans="2:7" x14ac:dyDescent="0.2">
      <c r="B84" s="39" t="str">
        <v>Vikram Singh</v>
      </c>
      <c r="C84" s="40">
        <v>46238</v>
      </c>
      <c r="D84" s="39" t="str">
        <v>Debit</v>
      </c>
      <c r="E84" s="41">
        <v>3750</v>
      </c>
      <c r="G84" s="39" t="str">
        <v>Rajan Pillai</v>
      </c>
    </row>
    <row r="85" spans="2:7" x14ac:dyDescent="0.2">
      <c r="B85" s="39" t="str">
        <v>Meena Krishnan</v>
      </c>
      <c r="C85" s="40">
        <v>46243</v>
      </c>
      <c r="D85" s="39" t="str">
        <v>Debit</v>
      </c>
      <c r="E85" s="41">
        <v>2300</v>
      </c>
      <c r="G85" s="39" t="str">
        <v>Pooja Desai</v>
      </c>
    </row>
    <row r="86" spans="2:7" x14ac:dyDescent="0.2">
      <c r="B86" s="39" t="str">
        <v>Geeta Pillai</v>
      </c>
      <c r="C86" s="40">
        <v>46259</v>
      </c>
      <c r="D86" s="39" t="str">
        <v>Debit</v>
      </c>
      <c r="E86" s="41">
        <v>2100</v>
      </c>
      <c r="G86" s="39" t="str">
        <v>Mohan Lal</v>
      </c>
    </row>
    <row r="87" spans="2:7" x14ac:dyDescent="0.2">
      <c r="B87" s="39" t="str">
        <v>Sunita Rao</v>
      </c>
      <c r="C87" s="40">
        <v>46259</v>
      </c>
      <c r="D87" s="39" t="str">
        <v>Debit</v>
      </c>
      <c r="E87" s="41">
        <v>1800</v>
      </c>
      <c r="G87" s="39" t="str">
        <v>Ritu Gupta</v>
      </c>
    </row>
    <row r="88" spans="2:7" x14ac:dyDescent="0.2">
      <c r="B88" s="39" t="str">
        <v>Amit Patel</v>
      </c>
      <c r="C88" s="40">
        <v>46240</v>
      </c>
      <c r="D88" s="39" t="str">
        <v>Debit</v>
      </c>
      <c r="E88" s="41">
        <v>1200.5</v>
      </c>
      <c r="G88" s="39" t="str">
        <v>Lakshmi Rao</v>
      </c>
    </row>
    <row r="89" spans="2:7" x14ac:dyDescent="0.2">
      <c r="B89" s="39" t="str">
        <v>Lakshmi Rao</v>
      </c>
      <c r="C89" s="40">
        <v>46253</v>
      </c>
      <c r="D89" s="39" t="str">
        <v>Debit</v>
      </c>
      <c r="E89" s="41">
        <v>1050</v>
      </c>
      <c r="G89" s="39" t="str">
        <v>Kavya Reddy</v>
      </c>
    </row>
    <row r="90" spans="2:7" x14ac:dyDescent="0.2">
      <c r="B90" s="39" t="str">
        <v>Mohan Lal</v>
      </c>
      <c r="C90" s="40">
        <v>46258</v>
      </c>
      <c r="D90" s="39" t="str">
        <v>Debit</v>
      </c>
      <c r="E90" s="41">
        <v>900</v>
      </c>
      <c r="G90" s="39" t="str">
        <v>Nisha Thomas</v>
      </c>
    </row>
    <row r="91" spans="2:7" x14ac:dyDescent="0.2">
      <c r="B91" s="39" t="str">
        <v>Kavya Reddy</v>
      </c>
      <c r="C91" s="40">
        <v>46245</v>
      </c>
      <c r="D91" s="39" t="str">
        <v>Debit</v>
      </c>
      <c r="E91" s="41">
        <v>750</v>
      </c>
      <c r="G91" s="39" t="str">
        <v>Deepak Verma</v>
      </c>
    </row>
    <row r="92" spans="2:7" x14ac:dyDescent="0.2">
      <c r="B92" s="39" t="str">
        <v>Divya Nambiar</v>
      </c>
      <c r="C92" s="40">
        <v>46255</v>
      </c>
      <c r="D92" s="39" t="str">
        <v>Debit</v>
      </c>
      <c r="E92" s="41">
        <v>600</v>
      </c>
      <c r="G92" s="39" t="str">
        <v>Ananya Iyer</v>
      </c>
    </row>
    <row r="93" spans="2:7" x14ac:dyDescent="0.2">
      <c r="B93" s="39" t="str">
        <v>Ritu Gupta</v>
      </c>
      <c r="C93" s="40">
        <v>46241</v>
      </c>
      <c r="D93" s="39" t="str">
        <v>Debit</v>
      </c>
      <c r="E93" s="41">
        <v>500</v>
      </c>
      <c r="G93" s="39" t="str">
        <v>Geeta Pillai</v>
      </c>
    </row>
    <row r="94" spans="2:7" x14ac:dyDescent="0.2">
      <c r="B94" s="39" t="str">
        <v>Nisha Thomas</v>
      </c>
      <c r="C94" s="40">
        <v>46259</v>
      </c>
      <c r="D94" s="39" t="str">
        <v>Debit</v>
      </c>
      <c r="E94" s="41">
        <v>350</v>
      </c>
      <c r="G94" s="39" t="str">
        <v>Divya Nambiar</v>
      </c>
    </row>
    <row r="95" spans="2:7" x14ac:dyDescent="0.2">
      <c r="B95" s="39" t="str">
        <v>Preethi Menon</v>
      </c>
      <c r="C95" s="40">
        <v>46250</v>
      </c>
      <c r="D95" s="39" t="str">
        <v>Debit</v>
      </c>
      <c r="E95" s="41">
        <v>250</v>
      </c>
      <c r="G95" s="39" t="str">
        <v>Preethi Menon</v>
      </c>
    </row>
    <row r="97" spans="2:3" x14ac:dyDescent="0.2">
      <c r="B97" s="24" t="s">
        <v>400</v>
      </c>
    </row>
    <row r="98" spans="2:3" x14ac:dyDescent="0.2">
      <c r="B98" s="26" t="s">
        <v>401</v>
      </c>
      <c r="C98" s="25" t="s">
        <v>402</v>
      </c>
    </row>
    <row r="99" spans="2:3" x14ac:dyDescent="0.2">
      <c r="B99" s="26" t="s">
        <v>403</v>
      </c>
      <c r="C99" s="25" t="s">
        <v>404</v>
      </c>
    </row>
    <row r="100" spans="2:3" x14ac:dyDescent="0.2">
      <c r="B100" s="26" t="s">
        <v>405</v>
      </c>
      <c r="C100" s="25" t="s">
        <v>406</v>
      </c>
    </row>
    <row r="101" spans="2:3" x14ac:dyDescent="0.2">
      <c r="B101" s="26" t="s">
        <v>407</v>
      </c>
      <c r="C101" s="25" t="s">
        <v>408</v>
      </c>
    </row>
    <row r="102" spans="2:3" x14ac:dyDescent="0.2">
      <c r="B102" s="26" t="s">
        <v>409</v>
      </c>
      <c r="C102" s="53" t="s">
        <v>410</v>
      </c>
    </row>
  </sheetData>
  <mergeCells count="9">
    <mergeCell ref="B58:D58"/>
    <mergeCell ref="B67:E67"/>
    <mergeCell ref="B16:G16"/>
    <mergeCell ref="B1:G1"/>
    <mergeCell ref="B2:G2"/>
    <mergeCell ref="B4:G4"/>
    <mergeCell ref="B13:G13"/>
    <mergeCell ref="B14:G14"/>
    <mergeCell ref="B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Cleaned_Data-Practice</vt:lpstr>
      <vt:lpstr>Address Effect</vt:lpstr>
      <vt:lpstr>Instructions</vt:lpstr>
      <vt:lpstr>Raw_Data (2)</vt:lpstr>
      <vt:lpstr>Sheet1</vt:lpstr>
      <vt:lpstr>Raw_Data</vt:lpstr>
      <vt:lpstr>Cleaned_Data</vt:lpstr>
      <vt:lpstr>Sorting_Lab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 Jauhari</cp:lastModifiedBy>
  <cp:revision>0</cp:revision>
  <dcterms:created xsi:type="dcterms:W3CDTF">2026-08-25T16:51:56Z</dcterms:created>
  <dcterms:modified xsi:type="dcterms:W3CDTF">2026-09-15T15:29:15Z</dcterms:modified>
  <dc:language>en-US</dc:language>
</cp:coreProperties>
</file>